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我的论文\城乡建设用地增减挂钩跨省交易\投稿\图表\"/>
    </mc:Choice>
  </mc:AlternateContent>
  <xr:revisionPtr revIDLastSave="0" documentId="13_ncr:1_{29280ADB-FE62-4329-A25B-506EC750F209}" xr6:coauthVersionLast="47" xr6:coauthVersionMax="47" xr10:uidLastSave="{00000000-0000-0000-0000-000000000000}"/>
  <bookViews>
    <workbookView xWindow="5100" yWindow="444" windowWidth="13308" windowHeight="11088" xr2:uid="{6F693DF3-A5A9-448B-914C-B53DE287A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5" i="1" l="1"/>
  <c r="N35" i="1"/>
  <c r="O31" i="1"/>
  <c r="N31" i="1"/>
  <c r="O19" i="1"/>
  <c r="N19" i="1"/>
  <c r="O12" i="1"/>
  <c r="N12" i="1"/>
  <c r="V7" i="1"/>
  <c r="S7" i="1"/>
  <c r="W7" i="1" s="1"/>
  <c r="R7" i="1"/>
  <c r="W6" i="1"/>
  <c r="V6" i="1"/>
  <c r="W5" i="1"/>
  <c r="V5" i="1"/>
  <c r="W4" i="1"/>
  <c r="V4" i="1"/>
  <c r="W3" i="1"/>
  <c r="V3" i="1"/>
</calcChain>
</file>

<file path=xl/sharedStrings.xml><?xml version="1.0" encoding="utf-8"?>
<sst xmlns="http://schemas.openxmlformats.org/spreadsheetml/2006/main" count="125" uniqueCount="51">
  <si>
    <r>
      <rPr>
        <sz val="11"/>
        <color theme="1"/>
        <rFont val="宋体"/>
        <family val="3"/>
        <charset val="134"/>
      </rPr>
      <t>省份名称</t>
    </r>
    <phoneticPr fontId="4" type="noConversion"/>
  </si>
  <si>
    <t>北京</t>
    <phoneticPr fontId="4" type="noConversion"/>
  </si>
  <si>
    <t>天津</t>
    <phoneticPr fontId="4" type="noConversion"/>
  </si>
  <si>
    <t>河北</t>
    <phoneticPr fontId="4" type="noConversion"/>
  </si>
  <si>
    <t>山西</t>
    <phoneticPr fontId="4" type="noConversion"/>
  </si>
  <si>
    <t>内蒙古</t>
    <phoneticPr fontId="4" type="noConversion"/>
  </si>
  <si>
    <t>辽宁</t>
    <phoneticPr fontId="4" type="noConversion"/>
  </si>
  <si>
    <t>吉林</t>
    <phoneticPr fontId="4" type="noConversion"/>
  </si>
  <si>
    <t>黑龙江</t>
    <phoneticPr fontId="4" type="noConversion"/>
  </si>
  <si>
    <t>上海</t>
    <phoneticPr fontId="4" type="noConversion"/>
  </si>
  <si>
    <t>江苏</t>
    <phoneticPr fontId="4" type="noConversion"/>
  </si>
  <si>
    <t>浙江</t>
    <phoneticPr fontId="4" type="noConversion"/>
  </si>
  <si>
    <t>安徽</t>
    <phoneticPr fontId="4" type="noConversion"/>
  </si>
  <si>
    <t>福建</t>
    <phoneticPr fontId="4" type="noConversion"/>
  </si>
  <si>
    <t>江西</t>
    <phoneticPr fontId="4" type="noConversion"/>
  </si>
  <si>
    <t>山东</t>
    <phoneticPr fontId="4" type="noConversion"/>
  </si>
  <si>
    <t>河南</t>
    <phoneticPr fontId="4" type="noConversion"/>
  </si>
  <si>
    <t>湖北</t>
    <phoneticPr fontId="4" type="noConversion"/>
  </si>
  <si>
    <t>湖南</t>
    <phoneticPr fontId="4" type="noConversion"/>
  </si>
  <si>
    <t>广东</t>
    <phoneticPr fontId="4" type="noConversion"/>
  </si>
  <si>
    <t>广西</t>
    <phoneticPr fontId="4" type="noConversion"/>
  </si>
  <si>
    <t>海南</t>
    <phoneticPr fontId="4" type="noConversion"/>
  </si>
  <si>
    <t>重庆</t>
    <phoneticPr fontId="4" type="noConversion"/>
  </si>
  <si>
    <t>四川</t>
    <phoneticPr fontId="4" type="noConversion"/>
  </si>
  <si>
    <t>贵州</t>
    <phoneticPr fontId="4" type="noConversion"/>
  </si>
  <si>
    <t>云南</t>
    <phoneticPr fontId="4" type="noConversion"/>
  </si>
  <si>
    <t>陕西</t>
    <phoneticPr fontId="4" type="noConversion"/>
  </si>
  <si>
    <t>甘肃</t>
    <phoneticPr fontId="4" type="noConversion"/>
  </si>
  <si>
    <t>青海</t>
    <phoneticPr fontId="4" type="noConversion"/>
  </si>
  <si>
    <t>宁夏</t>
    <phoneticPr fontId="4" type="noConversion"/>
  </si>
  <si>
    <t>新疆</t>
    <phoneticPr fontId="4" type="noConversion"/>
  </si>
  <si>
    <t>全国</t>
    <phoneticPr fontId="4" type="noConversion"/>
  </si>
  <si>
    <t>东部地区</t>
    <phoneticPr fontId="4" type="noConversion"/>
  </si>
  <si>
    <t>中部地区</t>
    <phoneticPr fontId="4" type="noConversion"/>
  </si>
  <si>
    <t>全国</t>
  </si>
  <si>
    <t>西部地区</t>
    <phoneticPr fontId="4" type="noConversion"/>
  </si>
  <si>
    <t>2009年</t>
  </si>
  <si>
    <t>2017年</t>
  </si>
  <si>
    <t>东部地区</t>
  </si>
  <si>
    <t>中部地区</t>
  </si>
  <si>
    <t>西部地区</t>
  </si>
  <si>
    <t>东北地区</t>
    <phoneticPr fontId="4" type="noConversion"/>
  </si>
  <si>
    <t>全国平均</t>
    <phoneticPr fontId="4" type="noConversion"/>
  </si>
  <si>
    <t>正值占比</t>
  </si>
  <si>
    <t>地级市总和</t>
  </si>
  <si>
    <r>
      <rPr>
        <sz val="12"/>
        <rFont val="宋体"/>
        <family val="3"/>
        <charset val="134"/>
      </rPr>
      <t>省份代码</t>
    </r>
  </si>
  <si>
    <r>
      <t>2017</t>
    </r>
    <r>
      <rPr>
        <sz val="11"/>
        <color theme="1"/>
        <rFont val="宋体"/>
        <family val="3"/>
        <charset val="134"/>
      </rPr>
      <t>年居住性用地扭曲系数</t>
    </r>
    <phoneticPr fontId="4" type="noConversion"/>
  </si>
  <si>
    <r>
      <t>2009</t>
    </r>
    <r>
      <rPr>
        <sz val="11"/>
        <color theme="1"/>
        <rFont val="宋体"/>
        <family val="3"/>
        <charset val="134"/>
      </rPr>
      <t>年居住性用地扭曲系数</t>
    </r>
    <phoneticPr fontId="4" type="noConversion"/>
  </si>
  <si>
    <r>
      <rPr>
        <sz val="11"/>
        <rFont val="宋体"/>
        <family val="3"/>
        <charset val="134"/>
      </rPr>
      <t>省份名称</t>
    </r>
    <phoneticPr fontId="4" type="noConversion"/>
  </si>
  <si>
    <r>
      <t>2009</t>
    </r>
    <r>
      <rPr>
        <sz val="11"/>
        <rFont val="宋体"/>
        <family val="3"/>
        <charset val="134"/>
      </rPr>
      <t>年</t>
    </r>
    <phoneticPr fontId="4" type="noConversion"/>
  </si>
  <si>
    <r>
      <t>2017</t>
    </r>
    <r>
      <rPr>
        <sz val="11"/>
        <rFont val="宋体"/>
        <family val="3"/>
        <charset val="134"/>
      </rPr>
      <t>年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</si>
</sst>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1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宋体"/>
      <family val="1"/>
      <charset val="134"/>
    </font>
    <font>
      <sz val="11"/>
      <name val="等线"/>
      <family val="2"/>
      <charset val="134"/>
      <scheme val="minor"/>
    </font>
    <font>
      <sz val="11"/>
      <name val="Times New Roman"/>
      <family val="1"/>
    </font>
    <font>
      <sz val="11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/>
    <xf numFmtId="0" fontId="13" fillId="0" borderId="0" xfId="0" applyFont="1" applyAlignment="1">
      <alignment horizontal="center"/>
    </xf>
    <xf numFmtId="2" fontId="12" fillId="0" borderId="0" xfId="0" applyNumberFormat="1" applyFont="1" applyAlignment="1">
      <alignment horizontal="center"/>
    </xf>
    <xf numFmtId="2" fontId="11" fillId="0" borderId="0" xfId="0" applyNumberFormat="1" applyFont="1" applyAlignment="1"/>
    <xf numFmtId="2" fontId="11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68285214348207"/>
          <c:y val="5.0925925925925923E-2"/>
          <c:w val="0.76553937007874018"/>
          <c:h val="0.75355643044619425"/>
        </c:manualLayout>
      </c:layout>
      <c:lineChart>
        <c:grouping val="standard"/>
        <c:varyColors val="0"/>
        <c:ser>
          <c:idx val="0"/>
          <c:order val="0"/>
          <c:tx>
            <c:strRef>
              <c:f>Sheet1!$V$2</c:f>
              <c:strCache>
                <c:ptCount val="1"/>
                <c:pt idx="0">
                  <c:v>2009年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Sheet1!$U$3:$U$7</c:f>
              <c:strCache>
                <c:ptCount val="5"/>
                <c:pt idx="0">
                  <c:v>东部地区</c:v>
                </c:pt>
                <c:pt idx="1">
                  <c:v>中部地区</c:v>
                </c:pt>
                <c:pt idx="2">
                  <c:v>西部地区</c:v>
                </c:pt>
                <c:pt idx="3">
                  <c:v>东北地区</c:v>
                </c:pt>
                <c:pt idx="4">
                  <c:v>全国平均</c:v>
                </c:pt>
              </c:strCache>
            </c:strRef>
          </c:cat>
          <c:val>
            <c:numRef>
              <c:f>Sheet1!$V$3:$V$7</c:f>
              <c:numCache>
                <c:formatCode>0.00</c:formatCode>
                <c:ptCount val="5"/>
                <c:pt idx="0">
                  <c:v>60.139272492213671</c:v>
                </c:pt>
                <c:pt idx="1">
                  <c:v>50.096839435074735</c:v>
                </c:pt>
                <c:pt idx="2">
                  <c:v>49.083694083694084</c:v>
                </c:pt>
                <c:pt idx="3">
                  <c:v>73.412698412698404</c:v>
                </c:pt>
                <c:pt idx="4">
                  <c:v>58.183126105920223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6-42C5-B4B4-BEDEFF2D5855}"/>
            </c:ext>
          </c:extLst>
        </c:ser>
        <c:ser>
          <c:idx val="1"/>
          <c:order val="1"/>
          <c:tx>
            <c:strRef>
              <c:f>Sheet1!$W$2</c:f>
              <c:strCache>
                <c:ptCount val="1"/>
                <c:pt idx="0">
                  <c:v>2017年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Sheet1!$U$3:$U$7</c:f>
              <c:strCache>
                <c:ptCount val="5"/>
                <c:pt idx="0">
                  <c:v>东部地区</c:v>
                </c:pt>
                <c:pt idx="1">
                  <c:v>中部地区</c:v>
                </c:pt>
                <c:pt idx="2">
                  <c:v>西部地区</c:v>
                </c:pt>
                <c:pt idx="3">
                  <c:v>东北地区</c:v>
                </c:pt>
                <c:pt idx="4">
                  <c:v>全国平均</c:v>
                </c:pt>
              </c:strCache>
            </c:strRef>
          </c:cat>
          <c:val>
            <c:numRef>
              <c:f>Sheet1!$W$3:$W$7</c:f>
              <c:numCache>
                <c:formatCode>0.00</c:formatCode>
                <c:ptCount val="5"/>
                <c:pt idx="0">
                  <c:v>83.951930422518643</c:v>
                </c:pt>
                <c:pt idx="1">
                  <c:v>63.004336349924586</c:v>
                </c:pt>
                <c:pt idx="2">
                  <c:v>68.452380952380949</c:v>
                </c:pt>
                <c:pt idx="3">
                  <c:v>51.587301587301596</c:v>
                </c:pt>
                <c:pt idx="4">
                  <c:v>66.748987328031447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6-42C5-B4B4-BEDEFF2D585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43238751"/>
        <c:axId val="1843231071"/>
      </c:lineChart>
      <c:catAx>
        <c:axId val="1843238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latin typeface="宋体" panose="02010600030101010101" pitchFamily="2" charset="-122"/>
                    <a:ea typeface="宋体" panose="02010600030101010101" pitchFamily="2" charset="-122"/>
                  </a:rPr>
                  <a:t>地区</a:t>
                </a:r>
              </a:p>
            </c:rich>
          </c:tx>
          <c:layout>
            <c:manualLayout>
              <c:xMode val="edge"/>
              <c:yMode val="edge"/>
              <c:x val="0.92417475940507432"/>
              <c:y val="0.792244823563721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1843231071"/>
        <c:crosses val="autoZero"/>
        <c:auto val="1"/>
        <c:lblAlgn val="ctr"/>
        <c:lblOffset val="100"/>
        <c:noMultiLvlLbl val="0"/>
      </c:catAx>
      <c:valAx>
        <c:axId val="1843231071"/>
        <c:scaling>
          <c:orientation val="minMax"/>
          <c:min val="40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占比（</a:t>
                </a:r>
                <a:r>
                  <a:rPr lang="en-US" altLang="zh-CN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%</a:t>
                </a:r>
                <a:r>
                  <a:rPr lang="zh-CN" altLang="en-US"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6.677456984543599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84323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97769028871393"/>
          <c:y val="0.91261519393409141"/>
          <c:w val="0.34"/>
          <c:h val="7.3450714494021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</xdr:colOff>
      <xdr:row>7</xdr:row>
      <xdr:rowOff>129540</xdr:rowOff>
    </xdr:from>
    <xdr:to>
      <xdr:col>23</xdr:col>
      <xdr:colOff>320040</xdr:colOff>
      <xdr:row>21</xdr:row>
      <xdr:rowOff>99060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743B0CC-7361-2BB7-97D9-002C4E6B1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60DFF-01AC-468E-908E-1473691DBFBD}">
  <dimension ref="A1:W35"/>
  <sheetViews>
    <sheetView tabSelected="1" topLeftCell="P4" workbookViewId="0">
      <selection activeCell="Z8" sqref="Z8"/>
    </sheetView>
  </sheetViews>
  <sheetFormatPr defaultRowHeight="15.6" x14ac:dyDescent="0.25"/>
  <cols>
    <col min="1" max="1" width="10.44140625" style="7" customWidth="1"/>
    <col min="2" max="2" width="14.44140625" style="6" customWidth="1"/>
    <col min="3" max="3" width="10.88671875" style="6" customWidth="1"/>
    <col min="4" max="4" width="15.109375" style="6" customWidth="1"/>
    <col min="5" max="6" width="14.44140625" style="6" customWidth="1"/>
    <col min="7" max="12" width="8.88671875" style="11"/>
    <col min="13" max="15" width="8.88671875" style="13"/>
    <col min="16" max="23" width="8.88671875" style="11"/>
  </cols>
  <sheetData>
    <row r="1" spans="1:23" ht="28.8" x14ac:dyDescent="0.25">
      <c r="A1" s="8" t="s">
        <v>43</v>
      </c>
      <c r="B1" s="9" t="s">
        <v>44</v>
      </c>
      <c r="C1" s="10" t="s">
        <v>45</v>
      </c>
      <c r="D1" s="1" t="s">
        <v>0</v>
      </c>
      <c r="E1" s="1" t="s">
        <v>46</v>
      </c>
      <c r="F1" s="1" t="s">
        <v>47</v>
      </c>
      <c r="H1" s="12" t="s">
        <v>48</v>
      </c>
      <c r="I1" s="12" t="s">
        <v>49</v>
      </c>
      <c r="J1" s="12" t="s">
        <v>50</v>
      </c>
      <c r="N1" s="12" t="s">
        <v>49</v>
      </c>
      <c r="O1" s="12" t="s">
        <v>50</v>
      </c>
    </row>
    <row r="2" spans="1:23" ht="16.2" x14ac:dyDescent="0.3">
      <c r="B2" s="6">
        <v>1</v>
      </c>
      <c r="C2" s="5">
        <v>11</v>
      </c>
      <c r="D2" s="2" t="s">
        <v>1</v>
      </c>
      <c r="E2" s="3">
        <v>1</v>
      </c>
      <c r="F2" s="3">
        <v>1</v>
      </c>
      <c r="G2" s="22" t="s">
        <v>32</v>
      </c>
      <c r="H2" s="19" t="s">
        <v>1</v>
      </c>
      <c r="I2" s="20">
        <v>1</v>
      </c>
      <c r="J2" s="20">
        <v>1</v>
      </c>
      <c r="L2" s="22" t="s">
        <v>32</v>
      </c>
      <c r="M2" s="14" t="s">
        <v>1</v>
      </c>
      <c r="N2" s="15">
        <v>1</v>
      </c>
      <c r="O2" s="15">
        <v>1</v>
      </c>
      <c r="Q2" s="13"/>
      <c r="R2" s="13" t="s">
        <v>36</v>
      </c>
      <c r="S2" s="13" t="s">
        <v>37</v>
      </c>
      <c r="V2" s="13" t="s">
        <v>36</v>
      </c>
      <c r="W2" s="13" t="s">
        <v>37</v>
      </c>
    </row>
    <row r="3" spans="1:23" ht="16.2" x14ac:dyDescent="0.3">
      <c r="B3" s="6">
        <v>1</v>
      </c>
      <c r="C3" s="5">
        <v>12</v>
      </c>
      <c r="D3" s="2" t="s">
        <v>2</v>
      </c>
      <c r="E3" s="3">
        <v>1</v>
      </c>
      <c r="F3" s="3">
        <v>0</v>
      </c>
      <c r="G3" s="22"/>
      <c r="H3" s="19" t="s">
        <v>9</v>
      </c>
      <c r="I3" s="20">
        <v>1</v>
      </c>
      <c r="J3" s="20">
        <v>1</v>
      </c>
      <c r="L3" s="22"/>
      <c r="M3" s="14" t="s">
        <v>9</v>
      </c>
      <c r="N3" s="15">
        <v>1</v>
      </c>
      <c r="O3" s="15">
        <v>1</v>
      </c>
      <c r="Q3" s="13" t="s">
        <v>38</v>
      </c>
      <c r="R3" s="17">
        <v>0.60139272492213669</v>
      </c>
      <c r="S3" s="17">
        <v>0.8395193042251865</v>
      </c>
      <c r="U3" s="13" t="s">
        <v>38</v>
      </c>
      <c r="V3" s="17">
        <f t="shared" ref="V3:W7" si="0">R3*100</f>
        <v>60.139272492213671</v>
      </c>
      <c r="W3" s="17">
        <f t="shared" si="0"/>
        <v>83.951930422518643</v>
      </c>
    </row>
    <row r="4" spans="1:23" ht="16.2" x14ac:dyDescent="0.3">
      <c r="B4" s="6">
        <v>11</v>
      </c>
      <c r="C4" s="5">
        <v>13</v>
      </c>
      <c r="D4" s="2" t="s">
        <v>3</v>
      </c>
      <c r="E4" s="3">
        <v>0.18181818181818182</v>
      </c>
      <c r="F4" s="3">
        <v>0.63636363636363635</v>
      </c>
      <c r="G4" s="22"/>
      <c r="H4" s="19" t="s">
        <v>13</v>
      </c>
      <c r="I4" s="20">
        <v>0.66666666666666663</v>
      </c>
      <c r="J4" s="20">
        <v>1</v>
      </c>
      <c r="L4" s="22"/>
      <c r="M4" s="14" t="s">
        <v>13</v>
      </c>
      <c r="N4" s="15">
        <v>0.66666666666666663</v>
      </c>
      <c r="O4" s="15">
        <v>1</v>
      </c>
      <c r="Q4" s="13" t="s">
        <v>39</v>
      </c>
      <c r="R4" s="17">
        <v>0.50096839435074736</v>
      </c>
      <c r="S4" s="17">
        <v>0.63004336349924583</v>
      </c>
      <c r="U4" s="13" t="s">
        <v>39</v>
      </c>
      <c r="V4" s="17">
        <f t="shared" si="0"/>
        <v>50.096839435074735</v>
      </c>
      <c r="W4" s="17">
        <f t="shared" si="0"/>
        <v>63.004336349924586</v>
      </c>
    </row>
    <row r="5" spans="1:23" ht="16.2" x14ac:dyDescent="0.3">
      <c r="B5" s="6">
        <v>11</v>
      </c>
      <c r="C5" s="5">
        <v>14</v>
      </c>
      <c r="D5" s="2" t="s">
        <v>4</v>
      </c>
      <c r="E5" s="3">
        <v>0.54545454545454541</v>
      </c>
      <c r="F5" s="3">
        <v>0.45454545454545453</v>
      </c>
      <c r="G5" s="22"/>
      <c r="H5" s="19" t="s">
        <v>2</v>
      </c>
      <c r="I5" s="20">
        <v>0</v>
      </c>
      <c r="J5" s="20">
        <v>1</v>
      </c>
      <c r="L5" s="22"/>
      <c r="M5" s="14" t="s">
        <v>2</v>
      </c>
      <c r="N5" s="15">
        <v>0</v>
      </c>
      <c r="O5" s="15">
        <v>1</v>
      </c>
      <c r="Q5" s="13" t="s">
        <v>40</v>
      </c>
      <c r="R5" s="17">
        <v>0.49083694083694085</v>
      </c>
      <c r="S5" s="17">
        <v>0.68452380952380953</v>
      </c>
      <c r="U5" s="13" t="s">
        <v>40</v>
      </c>
      <c r="V5" s="17">
        <f t="shared" si="0"/>
        <v>49.083694083694084</v>
      </c>
      <c r="W5" s="17">
        <f t="shared" si="0"/>
        <v>68.452380952380949</v>
      </c>
    </row>
    <row r="6" spans="1:23" ht="16.2" x14ac:dyDescent="0.3">
      <c r="B6" s="6">
        <v>9</v>
      </c>
      <c r="C6" s="5">
        <v>15</v>
      </c>
      <c r="D6" s="2" t="s">
        <v>5</v>
      </c>
      <c r="E6" s="3">
        <v>0.66666666666666663</v>
      </c>
      <c r="F6" s="3">
        <v>0.88888888888888884</v>
      </c>
      <c r="G6" s="22"/>
      <c r="H6" s="19" t="s">
        <v>21</v>
      </c>
      <c r="I6" s="20">
        <v>0</v>
      </c>
      <c r="J6" s="20">
        <v>1</v>
      </c>
      <c r="L6" s="22"/>
      <c r="M6" s="14" t="s">
        <v>21</v>
      </c>
      <c r="N6" s="15">
        <v>0</v>
      </c>
      <c r="O6" s="15">
        <v>1</v>
      </c>
      <c r="Q6" s="13" t="s">
        <v>41</v>
      </c>
      <c r="R6" s="18">
        <v>0.73412698412698407</v>
      </c>
      <c r="S6" s="17">
        <v>0.51587301587301593</v>
      </c>
      <c r="U6" s="13" t="s">
        <v>41</v>
      </c>
      <c r="V6" s="17">
        <f t="shared" si="0"/>
        <v>73.412698412698404</v>
      </c>
      <c r="W6" s="17">
        <f t="shared" si="0"/>
        <v>51.587301587301596</v>
      </c>
    </row>
    <row r="7" spans="1:23" x14ac:dyDescent="0.25">
      <c r="B7" s="6">
        <v>14</v>
      </c>
      <c r="C7" s="6">
        <v>21</v>
      </c>
      <c r="D7" s="2" t="s">
        <v>6</v>
      </c>
      <c r="E7" s="3">
        <v>0.7142857142857143</v>
      </c>
      <c r="F7" s="3">
        <v>0.7857142857142857</v>
      </c>
      <c r="G7" s="22"/>
      <c r="H7" s="19" t="s">
        <v>10</v>
      </c>
      <c r="I7" s="20">
        <v>0.69230769230769229</v>
      </c>
      <c r="J7" s="20">
        <v>0.92307692307692313</v>
      </c>
      <c r="L7" s="22"/>
      <c r="M7" s="14" t="s">
        <v>10</v>
      </c>
      <c r="N7" s="15">
        <v>0.69230769230769229</v>
      </c>
      <c r="O7" s="15">
        <v>0.92307692307692313</v>
      </c>
      <c r="Q7" s="13" t="s">
        <v>42</v>
      </c>
      <c r="R7" s="18">
        <f>AVERAGE(R3:R6)</f>
        <v>0.58183126105920224</v>
      </c>
      <c r="S7" s="18">
        <f>AVERAGE(S3:S6)</f>
        <v>0.66748987328031451</v>
      </c>
      <c r="U7" s="13" t="s">
        <v>42</v>
      </c>
      <c r="V7" s="17">
        <f t="shared" si="0"/>
        <v>58.183126105920223</v>
      </c>
      <c r="W7" s="17">
        <f t="shared" si="0"/>
        <v>66.748987328031447</v>
      </c>
    </row>
    <row r="8" spans="1:23" x14ac:dyDescent="0.25">
      <c r="B8" s="6">
        <v>8</v>
      </c>
      <c r="C8" s="6">
        <v>22</v>
      </c>
      <c r="D8" s="2" t="s">
        <v>7</v>
      </c>
      <c r="E8" s="3">
        <v>0.5</v>
      </c>
      <c r="F8" s="3">
        <v>0.75</v>
      </c>
      <c r="G8" s="22"/>
      <c r="H8" s="19" t="s">
        <v>19</v>
      </c>
      <c r="I8" s="20">
        <v>0.76190476190476186</v>
      </c>
      <c r="J8" s="20">
        <v>0.8571428571428571</v>
      </c>
      <c r="L8" s="22"/>
      <c r="M8" s="14" t="s">
        <v>19</v>
      </c>
      <c r="N8" s="15">
        <v>0.76190476190476186</v>
      </c>
      <c r="O8" s="15">
        <v>0.8571428571428571</v>
      </c>
    </row>
    <row r="9" spans="1:23" x14ac:dyDescent="0.25">
      <c r="B9" s="6">
        <v>12</v>
      </c>
      <c r="C9" s="6">
        <v>23</v>
      </c>
      <c r="D9" s="2" t="s">
        <v>8</v>
      </c>
      <c r="E9" s="3">
        <v>0.33333333333333331</v>
      </c>
      <c r="F9" s="3">
        <v>0.66666666666666663</v>
      </c>
      <c r="G9" s="22"/>
      <c r="H9" s="19" t="s">
        <v>11</v>
      </c>
      <c r="I9" s="20">
        <v>0.72727272727272729</v>
      </c>
      <c r="J9" s="20">
        <v>0.72727272727272729</v>
      </c>
      <c r="L9" s="22"/>
      <c r="M9" s="14" t="s">
        <v>11</v>
      </c>
      <c r="N9" s="15">
        <v>0.72727272727272729</v>
      </c>
      <c r="O9" s="15">
        <v>0.72727272727272729</v>
      </c>
    </row>
    <row r="10" spans="1:23" x14ac:dyDescent="0.25">
      <c r="B10" s="6">
        <v>1</v>
      </c>
      <c r="C10" s="6">
        <v>31</v>
      </c>
      <c r="D10" s="2" t="s">
        <v>9</v>
      </c>
      <c r="E10" s="3">
        <v>1</v>
      </c>
      <c r="F10" s="3">
        <v>1</v>
      </c>
      <c r="G10" s="22"/>
      <c r="H10" s="19" t="s">
        <v>15</v>
      </c>
      <c r="I10" s="20">
        <v>0.52941176470588236</v>
      </c>
      <c r="J10" s="20">
        <v>0.70588235294117652</v>
      </c>
      <c r="L10" s="22"/>
      <c r="M10" s="14" t="s">
        <v>15</v>
      </c>
      <c r="N10" s="15">
        <v>0.52941176470588236</v>
      </c>
      <c r="O10" s="15">
        <v>0.70588235294117652</v>
      </c>
    </row>
    <row r="11" spans="1:23" x14ac:dyDescent="0.25">
      <c r="B11" s="6">
        <v>13</v>
      </c>
      <c r="C11" s="6">
        <v>32</v>
      </c>
      <c r="D11" s="2" t="s">
        <v>10</v>
      </c>
      <c r="E11" s="3">
        <v>0.92307692307692313</v>
      </c>
      <c r="F11" s="3">
        <v>0.69230769230769229</v>
      </c>
      <c r="G11" s="22"/>
      <c r="H11" s="19" t="s">
        <v>3</v>
      </c>
      <c r="I11" s="20">
        <v>0.63636363636363635</v>
      </c>
      <c r="J11" s="20">
        <v>0.18181818181818182</v>
      </c>
      <c r="L11" s="22"/>
      <c r="M11" s="14" t="s">
        <v>3</v>
      </c>
      <c r="N11" s="15">
        <v>0.63636363636363635</v>
      </c>
      <c r="O11" s="15">
        <v>0.18181818181818182</v>
      </c>
    </row>
    <row r="12" spans="1:23" x14ac:dyDescent="0.25">
      <c r="B12" s="6">
        <v>11</v>
      </c>
      <c r="C12" s="6">
        <v>33</v>
      </c>
      <c r="D12" s="2" t="s">
        <v>11</v>
      </c>
      <c r="E12" s="3">
        <v>0.72727272727272729</v>
      </c>
      <c r="F12" s="3">
        <v>0.72727272727272729</v>
      </c>
      <c r="G12" s="22" t="s">
        <v>33</v>
      </c>
      <c r="H12" s="19" t="s">
        <v>16</v>
      </c>
      <c r="I12" s="20">
        <v>0.52941176470588236</v>
      </c>
      <c r="J12" s="20">
        <v>0.82352941176470584</v>
      </c>
      <c r="N12" s="16">
        <f>AVERAGE(N2:N11)</f>
        <v>0.60139272492213669</v>
      </c>
      <c r="O12" s="16">
        <f>AVERAGE(O2:O11)</f>
        <v>0.8395193042251865</v>
      </c>
    </row>
    <row r="13" spans="1:23" x14ac:dyDescent="0.25">
      <c r="B13" s="6">
        <v>16</v>
      </c>
      <c r="C13" s="6">
        <v>34</v>
      </c>
      <c r="D13" s="2" t="s">
        <v>12</v>
      </c>
      <c r="E13" s="3">
        <v>0.4375</v>
      </c>
      <c r="F13" s="3">
        <v>0.375</v>
      </c>
      <c r="G13" s="22"/>
      <c r="H13" s="19" t="s">
        <v>18</v>
      </c>
      <c r="I13" s="20">
        <v>0.69230769230769229</v>
      </c>
      <c r="J13" s="20">
        <v>0.76923076923076927</v>
      </c>
      <c r="L13" s="22" t="s">
        <v>33</v>
      </c>
      <c r="M13" s="14" t="s">
        <v>16</v>
      </c>
      <c r="N13" s="15">
        <v>0.52941176470588236</v>
      </c>
      <c r="O13" s="15">
        <v>0.82352941176470584</v>
      </c>
    </row>
    <row r="14" spans="1:23" x14ac:dyDescent="0.25">
      <c r="B14" s="6">
        <v>9</v>
      </c>
      <c r="C14" s="6">
        <v>35</v>
      </c>
      <c r="D14" s="2" t="s">
        <v>13</v>
      </c>
      <c r="E14" s="3">
        <v>1</v>
      </c>
      <c r="F14" s="3">
        <v>0.66666666666666663</v>
      </c>
      <c r="G14" s="22"/>
      <c r="H14" s="19" t="s">
        <v>17</v>
      </c>
      <c r="I14" s="20">
        <v>0.5</v>
      </c>
      <c r="J14" s="20">
        <v>0.75</v>
      </c>
      <c r="L14" s="22"/>
      <c r="M14" s="14" t="s">
        <v>18</v>
      </c>
      <c r="N14" s="15">
        <v>0.69230769230769229</v>
      </c>
      <c r="O14" s="15">
        <v>0.76923076923076927</v>
      </c>
    </row>
    <row r="15" spans="1:23" x14ac:dyDescent="0.25">
      <c r="B15" s="6">
        <v>11</v>
      </c>
      <c r="C15" s="6">
        <v>36</v>
      </c>
      <c r="D15" s="2" t="s">
        <v>14</v>
      </c>
      <c r="E15" s="3">
        <v>0.45454545454545453</v>
      </c>
      <c r="F15" s="3">
        <v>0.45454545454545453</v>
      </c>
      <c r="G15" s="22"/>
      <c r="H15" s="19" t="s">
        <v>4</v>
      </c>
      <c r="I15" s="20">
        <v>0.45454545454545453</v>
      </c>
      <c r="J15" s="20">
        <v>0.54545454545454541</v>
      </c>
      <c r="L15" s="22"/>
      <c r="M15" s="14" t="s">
        <v>17</v>
      </c>
      <c r="N15" s="15">
        <v>0.5</v>
      </c>
      <c r="O15" s="15">
        <v>0.75</v>
      </c>
    </row>
    <row r="16" spans="1:23" x14ac:dyDescent="0.25">
      <c r="B16" s="6">
        <v>17</v>
      </c>
      <c r="C16" s="6">
        <v>37</v>
      </c>
      <c r="D16" s="2" t="s">
        <v>15</v>
      </c>
      <c r="E16" s="3">
        <v>0.70588235294117652</v>
      </c>
      <c r="F16" s="3">
        <v>0.52941176470588236</v>
      </c>
      <c r="G16" s="22"/>
      <c r="H16" s="19" t="s">
        <v>14</v>
      </c>
      <c r="I16" s="20">
        <v>0.45454545454545453</v>
      </c>
      <c r="J16" s="20">
        <v>0.45454545454545453</v>
      </c>
      <c r="L16" s="22"/>
      <c r="M16" s="14" t="s">
        <v>4</v>
      </c>
      <c r="N16" s="15">
        <v>0.45454545454545453</v>
      </c>
      <c r="O16" s="15">
        <v>0.54545454545454541</v>
      </c>
    </row>
    <row r="17" spans="2:15" x14ac:dyDescent="0.25">
      <c r="B17" s="6">
        <v>17</v>
      </c>
      <c r="C17" s="6">
        <v>41</v>
      </c>
      <c r="D17" s="2" t="s">
        <v>16</v>
      </c>
      <c r="E17" s="3">
        <v>0.82352941176470584</v>
      </c>
      <c r="F17" s="3">
        <v>0.52941176470588236</v>
      </c>
      <c r="G17" s="22"/>
      <c r="H17" s="19" t="s">
        <v>12</v>
      </c>
      <c r="I17" s="20">
        <v>0.375</v>
      </c>
      <c r="J17" s="20">
        <v>0.4375</v>
      </c>
      <c r="L17" s="22"/>
      <c r="M17" s="14" t="s">
        <v>14</v>
      </c>
      <c r="N17" s="15">
        <v>0.45454545454545453</v>
      </c>
      <c r="O17" s="15">
        <v>0.45454545454545453</v>
      </c>
    </row>
    <row r="18" spans="2:15" x14ac:dyDescent="0.25">
      <c r="B18" s="6">
        <v>12</v>
      </c>
      <c r="C18" s="6">
        <v>42</v>
      </c>
      <c r="D18" s="2" t="s">
        <v>17</v>
      </c>
      <c r="E18" s="3">
        <v>0.75</v>
      </c>
      <c r="F18" s="3">
        <v>0.5</v>
      </c>
      <c r="G18" s="22" t="s">
        <v>35</v>
      </c>
      <c r="H18" s="19" t="s">
        <v>22</v>
      </c>
      <c r="I18" s="20">
        <v>1</v>
      </c>
      <c r="J18" s="20">
        <v>1</v>
      </c>
      <c r="L18" s="22"/>
      <c r="M18" s="14" t="s">
        <v>12</v>
      </c>
      <c r="N18" s="15">
        <v>0.375</v>
      </c>
      <c r="O18" s="15">
        <v>0.4375</v>
      </c>
    </row>
    <row r="19" spans="2:15" x14ac:dyDescent="0.25">
      <c r="B19" s="6">
        <v>13</v>
      </c>
      <c r="C19" s="6">
        <v>43</v>
      </c>
      <c r="D19" s="2" t="s">
        <v>18</v>
      </c>
      <c r="E19" s="3">
        <v>0.76923076923076927</v>
      </c>
      <c r="F19" s="3">
        <v>0.69230769230769229</v>
      </c>
      <c r="G19" s="22"/>
      <c r="H19" s="19" t="s">
        <v>28</v>
      </c>
      <c r="I19" s="20">
        <v>0</v>
      </c>
      <c r="J19" s="20">
        <v>1</v>
      </c>
      <c r="N19" s="16">
        <f>AVERAGE(N13:N18)</f>
        <v>0.50096839435074736</v>
      </c>
      <c r="O19" s="16">
        <f>AVERAGE(O13:O18)</f>
        <v>0.63004336349924583</v>
      </c>
    </row>
    <row r="20" spans="2:15" x14ac:dyDescent="0.25">
      <c r="B20" s="6">
        <v>21</v>
      </c>
      <c r="C20" s="6">
        <v>44</v>
      </c>
      <c r="D20" s="2" t="s">
        <v>19</v>
      </c>
      <c r="E20" s="3">
        <v>0.8571428571428571</v>
      </c>
      <c r="F20" s="3">
        <v>0.76190476190476186</v>
      </c>
      <c r="G20" s="22"/>
      <c r="H20" s="19" t="s">
        <v>30</v>
      </c>
      <c r="I20" s="20">
        <v>0</v>
      </c>
      <c r="J20" s="20">
        <v>1</v>
      </c>
      <c r="L20" s="22" t="s">
        <v>35</v>
      </c>
      <c r="M20" s="14" t="s">
        <v>22</v>
      </c>
      <c r="N20" s="15">
        <v>1</v>
      </c>
      <c r="O20" s="15">
        <v>1</v>
      </c>
    </row>
    <row r="21" spans="2:15" x14ac:dyDescent="0.25">
      <c r="B21" s="6">
        <v>14</v>
      </c>
      <c r="C21" s="6">
        <v>45</v>
      </c>
      <c r="D21" s="2" t="s">
        <v>20</v>
      </c>
      <c r="E21" s="3">
        <v>0.5714285714285714</v>
      </c>
      <c r="F21" s="3">
        <v>0.5714285714285714</v>
      </c>
      <c r="G21" s="22"/>
      <c r="H21" s="19" t="s">
        <v>23</v>
      </c>
      <c r="I21" s="20">
        <v>0.55555555555555558</v>
      </c>
      <c r="J21" s="20">
        <v>0.83333333333333337</v>
      </c>
      <c r="L21" s="22"/>
      <c r="M21" s="14" t="s">
        <v>28</v>
      </c>
      <c r="N21" s="15">
        <v>0</v>
      </c>
      <c r="O21" s="15">
        <v>1</v>
      </c>
    </row>
    <row r="22" spans="2:15" x14ac:dyDescent="0.25">
      <c r="B22" s="6">
        <v>2</v>
      </c>
      <c r="C22" s="6">
        <v>46</v>
      </c>
      <c r="D22" s="2" t="s">
        <v>21</v>
      </c>
      <c r="E22" s="3">
        <v>1</v>
      </c>
      <c r="F22" s="3">
        <v>0</v>
      </c>
      <c r="G22" s="22"/>
      <c r="H22" s="19" t="s">
        <v>24</v>
      </c>
      <c r="I22" s="20">
        <v>0</v>
      </c>
      <c r="J22" s="20">
        <v>0.75</v>
      </c>
      <c r="L22" s="22"/>
      <c r="M22" s="14" t="s">
        <v>30</v>
      </c>
      <c r="N22" s="15">
        <v>0</v>
      </c>
      <c r="O22" s="15">
        <v>1</v>
      </c>
    </row>
    <row r="23" spans="2:15" x14ac:dyDescent="0.25">
      <c r="B23" s="6">
        <v>1</v>
      </c>
      <c r="C23" s="6">
        <v>50</v>
      </c>
      <c r="D23" s="2" t="s">
        <v>22</v>
      </c>
      <c r="E23" s="3">
        <v>1</v>
      </c>
      <c r="F23" s="3">
        <v>1</v>
      </c>
      <c r="G23" s="22"/>
      <c r="H23" s="19" t="s">
        <v>5</v>
      </c>
      <c r="I23" s="20">
        <v>0.88888888888888884</v>
      </c>
      <c r="J23" s="20">
        <v>0.66666666666666663</v>
      </c>
      <c r="L23" s="22"/>
      <c r="M23" s="14" t="s">
        <v>23</v>
      </c>
      <c r="N23" s="15">
        <v>0.55555555555555558</v>
      </c>
      <c r="O23" s="15">
        <v>0.83333333333333337</v>
      </c>
    </row>
    <row r="24" spans="2:15" x14ac:dyDescent="0.25">
      <c r="B24" s="6">
        <v>18</v>
      </c>
      <c r="C24" s="6">
        <v>51</v>
      </c>
      <c r="D24" s="2" t="s">
        <v>23</v>
      </c>
      <c r="E24" s="3">
        <v>0.83333333333333337</v>
      </c>
      <c r="F24" s="3">
        <v>0.55555555555555558</v>
      </c>
      <c r="G24" s="22"/>
      <c r="H24" s="19" t="s">
        <v>29</v>
      </c>
      <c r="I24" s="20">
        <v>0.6</v>
      </c>
      <c r="J24" s="20">
        <v>0.6</v>
      </c>
      <c r="L24" s="22"/>
      <c r="M24" s="14" t="s">
        <v>24</v>
      </c>
      <c r="N24" s="15">
        <v>0</v>
      </c>
      <c r="O24" s="15">
        <v>0.75</v>
      </c>
    </row>
    <row r="25" spans="2:15" x14ac:dyDescent="0.25">
      <c r="B25" s="6">
        <v>4</v>
      </c>
      <c r="C25" s="6">
        <v>52</v>
      </c>
      <c r="D25" s="2" t="s">
        <v>24</v>
      </c>
      <c r="E25" s="3">
        <v>0.75</v>
      </c>
      <c r="F25" s="3">
        <v>0</v>
      </c>
      <c r="G25" s="22"/>
      <c r="H25" s="19" t="s">
        <v>20</v>
      </c>
      <c r="I25" s="20">
        <v>0.5714285714285714</v>
      </c>
      <c r="J25" s="20">
        <v>0.5714285714285714</v>
      </c>
      <c r="L25" s="22"/>
      <c r="M25" s="14" t="s">
        <v>5</v>
      </c>
      <c r="N25" s="15">
        <v>0.88888888888888884</v>
      </c>
      <c r="O25" s="15">
        <v>0.66666666666666663</v>
      </c>
    </row>
    <row r="26" spans="2:15" x14ac:dyDescent="0.25">
      <c r="B26" s="6">
        <v>8</v>
      </c>
      <c r="C26" s="6">
        <v>53</v>
      </c>
      <c r="D26" s="2" t="s">
        <v>25</v>
      </c>
      <c r="E26" s="3">
        <v>0.375</v>
      </c>
      <c r="F26" s="3">
        <v>0.5</v>
      </c>
      <c r="G26" s="22"/>
      <c r="H26" s="19" t="s">
        <v>26</v>
      </c>
      <c r="I26" s="20">
        <v>0.7</v>
      </c>
      <c r="J26" s="20">
        <v>0.4</v>
      </c>
      <c r="L26" s="22"/>
      <c r="M26" s="14" t="s">
        <v>29</v>
      </c>
      <c r="N26" s="15">
        <v>0.6</v>
      </c>
      <c r="O26" s="15">
        <v>0.6</v>
      </c>
    </row>
    <row r="27" spans="2:15" x14ac:dyDescent="0.25">
      <c r="B27" s="6">
        <v>10</v>
      </c>
      <c r="C27" s="6">
        <v>61</v>
      </c>
      <c r="D27" s="2" t="s">
        <v>26</v>
      </c>
      <c r="E27" s="3">
        <v>0.4</v>
      </c>
      <c r="F27" s="3">
        <v>0.7</v>
      </c>
      <c r="G27" s="22"/>
      <c r="H27" s="19" t="s">
        <v>25</v>
      </c>
      <c r="I27" s="20">
        <v>0.5</v>
      </c>
      <c r="J27" s="20">
        <v>0.375</v>
      </c>
      <c r="L27" s="22"/>
      <c r="M27" s="14" t="s">
        <v>20</v>
      </c>
      <c r="N27" s="15">
        <v>0.5714285714285714</v>
      </c>
      <c r="O27" s="15">
        <v>0.5714285714285714</v>
      </c>
    </row>
    <row r="28" spans="2:15" x14ac:dyDescent="0.25">
      <c r="B28" s="6">
        <v>12</v>
      </c>
      <c r="C28" s="6">
        <v>62</v>
      </c>
      <c r="D28" s="2" t="s">
        <v>27</v>
      </c>
      <c r="E28" s="3">
        <v>0.33333333333333331</v>
      </c>
      <c r="F28" s="3">
        <v>0.58333333333333337</v>
      </c>
      <c r="G28" s="22"/>
      <c r="H28" s="19" t="s">
        <v>27</v>
      </c>
      <c r="I28" s="20">
        <v>0.58333333333333337</v>
      </c>
      <c r="J28" s="20">
        <v>0.33333333333333331</v>
      </c>
      <c r="L28" s="22"/>
      <c r="M28" s="14" t="s">
        <v>26</v>
      </c>
      <c r="N28" s="15">
        <v>0.7</v>
      </c>
      <c r="O28" s="15">
        <v>0.4</v>
      </c>
    </row>
    <row r="29" spans="2:15" x14ac:dyDescent="0.25">
      <c r="B29" s="6">
        <v>1</v>
      </c>
      <c r="C29" s="6">
        <v>63</v>
      </c>
      <c r="D29" s="2" t="s">
        <v>28</v>
      </c>
      <c r="E29" s="3">
        <v>1</v>
      </c>
      <c r="F29" s="3">
        <v>0</v>
      </c>
      <c r="G29" s="22" t="s">
        <v>41</v>
      </c>
      <c r="H29" s="19" t="s">
        <v>6</v>
      </c>
      <c r="I29" s="20">
        <v>0.7857142857142857</v>
      </c>
      <c r="J29" s="20">
        <v>0.7142857142857143</v>
      </c>
      <c r="L29" s="22"/>
      <c r="M29" s="14" t="s">
        <v>25</v>
      </c>
      <c r="N29" s="15">
        <v>0.5</v>
      </c>
      <c r="O29" s="15">
        <v>0.375</v>
      </c>
    </row>
    <row r="30" spans="2:15" x14ac:dyDescent="0.25">
      <c r="B30" s="6">
        <v>5</v>
      </c>
      <c r="C30" s="6">
        <v>64</v>
      </c>
      <c r="D30" s="2" t="s">
        <v>29</v>
      </c>
      <c r="E30" s="3">
        <v>0.6</v>
      </c>
      <c r="F30" s="3">
        <v>0.6</v>
      </c>
      <c r="G30" s="22"/>
      <c r="H30" s="19" t="s">
        <v>7</v>
      </c>
      <c r="I30" s="20">
        <v>0.75</v>
      </c>
      <c r="J30" s="20">
        <v>0.5</v>
      </c>
      <c r="L30" s="22"/>
      <c r="M30" s="14" t="s">
        <v>27</v>
      </c>
      <c r="N30" s="15">
        <v>0.58333333333333337</v>
      </c>
      <c r="O30" s="15">
        <v>0.33333333333333331</v>
      </c>
    </row>
    <row r="31" spans="2:15" x14ac:dyDescent="0.25">
      <c r="B31" s="6">
        <v>2</v>
      </c>
      <c r="C31" s="6">
        <v>65</v>
      </c>
      <c r="D31" s="2" t="s">
        <v>30</v>
      </c>
      <c r="E31" s="3">
        <v>1</v>
      </c>
      <c r="F31" s="3">
        <v>0</v>
      </c>
      <c r="G31" s="22"/>
      <c r="H31" s="19" t="s">
        <v>8</v>
      </c>
      <c r="I31" s="20">
        <v>0.66666666666666663</v>
      </c>
      <c r="J31" s="20">
        <v>0.33333333333333331</v>
      </c>
      <c r="N31" s="16">
        <f>AVERAGE(N20:N30)</f>
        <v>0.49083694083694085</v>
      </c>
      <c r="O31" s="16">
        <f>AVERAGE(O20:O30)</f>
        <v>0.68452380952380953</v>
      </c>
    </row>
    <row r="32" spans="2:15" x14ac:dyDescent="0.25">
      <c r="B32" s="6">
        <v>285</v>
      </c>
      <c r="D32" s="4" t="s">
        <v>31</v>
      </c>
      <c r="E32" s="3">
        <v>0.64912280701754388</v>
      </c>
      <c r="F32" s="3">
        <v>0.59649122807017541</v>
      </c>
      <c r="G32" s="11" t="s">
        <v>34</v>
      </c>
      <c r="H32" s="21"/>
      <c r="I32" s="20">
        <v>0.59649122807017541</v>
      </c>
      <c r="J32" s="20">
        <v>0.64912280701754388</v>
      </c>
      <c r="L32" s="22" t="s">
        <v>41</v>
      </c>
      <c r="M32" s="14" t="s">
        <v>6</v>
      </c>
      <c r="N32" s="15">
        <v>0.7857142857142857</v>
      </c>
      <c r="O32" s="15">
        <v>0.7142857142857143</v>
      </c>
    </row>
    <row r="33" spans="12:15" x14ac:dyDescent="0.25">
      <c r="L33" s="22"/>
      <c r="M33" s="14" t="s">
        <v>7</v>
      </c>
      <c r="N33" s="15">
        <v>0.75</v>
      </c>
      <c r="O33" s="15">
        <v>0.5</v>
      </c>
    </row>
    <row r="34" spans="12:15" x14ac:dyDescent="0.25">
      <c r="L34" s="22"/>
      <c r="M34" s="14" t="s">
        <v>8</v>
      </c>
      <c r="N34" s="15">
        <v>0.66666666666666663</v>
      </c>
      <c r="O34" s="15">
        <v>0.33333333333333331</v>
      </c>
    </row>
    <row r="35" spans="12:15" x14ac:dyDescent="0.25">
      <c r="N35" s="16">
        <f>AVERAGE(N32:N34)</f>
        <v>0.73412698412698407</v>
      </c>
      <c r="O35" s="16">
        <f>AVERAGE(O32:O34)</f>
        <v>0.51587301587301593</v>
      </c>
    </row>
  </sheetData>
  <mergeCells count="8">
    <mergeCell ref="L32:L34"/>
    <mergeCell ref="G2:G11"/>
    <mergeCell ref="L2:L11"/>
    <mergeCell ref="G12:G17"/>
    <mergeCell ref="L13:L18"/>
    <mergeCell ref="G18:G28"/>
    <mergeCell ref="L20:L30"/>
    <mergeCell ref="G29:G3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one</dc:creator>
  <cp:lastModifiedBy>user one</cp:lastModifiedBy>
  <dcterms:created xsi:type="dcterms:W3CDTF">2025-07-29T02:11:06Z</dcterms:created>
  <dcterms:modified xsi:type="dcterms:W3CDTF">2026-01-10T12:51:14Z</dcterms:modified>
</cp:coreProperties>
</file>