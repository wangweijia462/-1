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我的论文\城乡建设用地增减挂钩跨省交易\投稿\代码\"/>
    </mc:Choice>
  </mc:AlternateContent>
  <xr:revisionPtr revIDLastSave="0" documentId="13_ncr:1_{922B3490-03C6-4D2B-AA43-5F918C62BF63}" xr6:coauthVersionLast="47" xr6:coauthVersionMax="47" xr10:uidLastSave="{00000000-0000-0000-0000-000000000000}"/>
  <bookViews>
    <workbookView xWindow="2220" yWindow="504" windowWidth="13308" windowHeight="11088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5" i="3" l="1"/>
  <c r="O35" i="3"/>
  <c r="K32" i="3"/>
  <c r="J32" i="3"/>
  <c r="P31" i="3"/>
  <c r="O31" i="3"/>
  <c r="P19" i="3"/>
  <c r="O19" i="3"/>
  <c r="P12" i="3"/>
  <c r="O12" i="3"/>
  <c r="T7" i="3"/>
  <c r="X7" i="3" s="1"/>
  <c r="S7" i="3"/>
  <c r="W7" i="3" s="1"/>
  <c r="X6" i="3"/>
  <c r="W6" i="3"/>
  <c r="X5" i="3"/>
  <c r="W5" i="3"/>
  <c r="X4" i="3"/>
  <c r="W4" i="3"/>
  <c r="X3" i="3"/>
  <c r="W3" i="3"/>
</calcChain>
</file>

<file path=xl/sharedStrings.xml><?xml version="1.0" encoding="utf-8"?>
<sst xmlns="http://schemas.openxmlformats.org/spreadsheetml/2006/main" count="125" uniqueCount="50">
  <si>
    <t>内蒙古</t>
    <phoneticPr fontId="1" type="noConversion"/>
  </si>
  <si>
    <t>山西</t>
    <phoneticPr fontId="1" type="noConversion"/>
  </si>
  <si>
    <t>河北</t>
    <phoneticPr fontId="1" type="noConversion"/>
  </si>
  <si>
    <t>天津</t>
    <phoneticPr fontId="1" type="noConversion"/>
  </si>
  <si>
    <t>北京</t>
    <phoneticPr fontId="1" type="noConversion"/>
  </si>
  <si>
    <t>吉林</t>
    <phoneticPr fontId="1" type="noConversion"/>
  </si>
  <si>
    <t>辽宁</t>
    <phoneticPr fontId="1" type="noConversion"/>
  </si>
  <si>
    <t>黑龙江</t>
    <phoneticPr fontId="1" type="noConversion"/>
  </si>
  <si>
    <t>上海</t>
    <phoneticPr fontId="1" type="noConversion"/>
  </si>
  <si>
    <t>浙江</t>
    <phoneticPr fontId="1" type="noConversion"/>
  </si>
  <si>
    <t>江苏</t>
    <phoneticPr fontId="1" type="noConversion"/>
  </si>
  <si>
    <t>安徽</t>
    <phoneticPr fontId="1" type="noConversion"/>
  </si>
  <si>
    <t>江西</t>
    <phoneticPr fontId="1" type="noConversion"/>
  </si>
  <si>
    <t>福建</t>
    <phoneticPr fontId="1" type="noConversion"/>
  </si>
  <si>
    <t>山东</t>
    <phoneticPr fontId="1" type="noConversion"/>
  </si>
  <si>
    <t>广西</t>
    <phoneticPr fontId="1" type="noConversion"/>
  </si>
  <si>
    <t>新疆</t>
    <phoneticPr fontId="1" type="noConversion"/>
  </si>
  <si>
    <t>宁夏</t>
    <phoneticPr fontId="1" type="noConversion"/>
  </si>
  <si>
    <t>青海</t>
    <phoneticPr fontId="1" type="noConversion"/>
  </si>
  <si>
    <t>甘肃</t>
    <phoneticPr fontId="1" type="noConversion"/>
  </si>
  <si>
    <t>陕西</t>
    <phoneticPr fontId="1" type="noConversion"/>
  </si>
  <si>
    <t>云南</t>
    <phoneticPr fontId="1" type="noConversion"/>
  </si>
  <si>
    <t>贵州</t>
    <phoneticPr fontId="1" type="noConversion"/>
  </si>
  <si>
    <t>四川</t>
    <phoneticPr fontId="1" type="noConversion"/>
  </si>
  <si>
    <t>重庆</t>
    <phoneticPr fontId="1" type="noConversion"/>
  </si>
  <si>
    <t>海南</t>
    <phoneticPr fontId="1" type="noConversion"/>
  </si>
  <si>
    <t>广东</t>
    <phoneticPr fontId="1" type="noConversion"/>
  </si>
  <si>
    <t>湖南</t>
    <phoneticPr fontId="1" type="noConversion"/>
  </si>
  <si>
    <t>湖北</t>
    <phoneticPr fontId="1" type="noConversion"/>
  </si>
  <si>
    <t>河南</t>
    <phoneticPr fontId="1" type="noConversion"/>
  </si>
  <si>
    <t>地级市总和</t>
  </si>
  <si>
    <t>正值占比</t>
  </si>
  <si>
    <r>
      <rPr>
        <sz val="12"/>
        <rFont val="宋体"/>
        <family val="3"/>
        <charset val="134"/>
      </rPr>
      <t>省份代码</t>
    </r>
  </si>
  <si>
    <r>
      <rPr>
        <sz val="11"/>
        <color theme="1"/>
        <rFont val="宋体"/>
        <family val="3"/>
        <charset val="134"/>
      </rPr>
      <t>省份名称</t>
    </r>
    <phoneticPr fontId="1" type="noConversion"/>
  </si>
  <si>
    <r>
      <t>2017</t>
    </r>
    <r>
      <rPr>
        <sz val="11"/>
        <color theme="1"/>
        <rFont val="宋体"/>
        <family val="3"/>
        <charset val="134"/>
      </rPr>
      <t>年生产性用地扭曲系数</t>
    </r>
    <phoneticPr fontId="1" type="noConversion"/>
  </si>
  <si>
    <r>
      <t>2009</t>
    </r>
    <r>
      <rPr>
        <sz val="11"/>
        <color theme="1"/>
        <rFont val="宋体"/>
        <family val="3"/>
        <charset val="134"/>
      </rPr>
      <t>年生产性用地扭曲系数</t>
    </r>
    <phoneticPr fontId="1" type="noConversion"/>
  </si>
  <si>
    <t>全国</t>
    <phoneticPr fontId="1" type="noConversion"/>
  </si>
  <si>
    <t>东部地区</t>
    <phoneticPr fontId="1" type="noConversion"/>
  </si>
  <si>
    <t>中部地区</t>
    <phoneticPr fontId="1" type="noConversion"/>
  </si>
  <si>
    <t>西部地区</t>
    <phoneticPr fontId="1" type="noConversion"/>
  </si>
  <si>
    <t>全国</t>
  </si>
  <si>
    <t>东部地区</t>
  </si>
  <si>
    <t>中部地区</t>
  </si>
  <si>
    <t>西部地区</t>
  </si>
  <si>
    <t>东北地区</t>
    <phoneticPr fontId="1" type="noConversion"/>
  </si>
  <si>
    <t>2017年</t>
  </si>
  <si>
    <t>2009年</t>
  </si>
  <si>
    <t>全国平均</t>
    <phoneticPr fontId="1" type="noConversion"/>
  </si>
  <si>
    <r>
      <t>2009</t>
    </r>
    <r>
      <rPr>
        <sz val="11"/>
        <rFont val="宋体"/>
        <family val="3"/>
        <charset val="134"/>
      </rPr>
      <t>年</t>
    </r>
    <phoneticPr fontId="1" type="noConversion"/>
  </si>
  <si>
    <r>
      <t>2017</t>
    </r>
    <r>
      <rPr>
        <sz val="11"/>
        <rFont val="宋体"/>
        <family val="3"/>
        <charset val="134"/>
      </rPr>
      <t>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</si>
</sst>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b/>
      <sz val="12"/>
      <color theme="1"/>
      <name val="宋体"/>
      <family val="1"/>
      <charset val="134"/>
    </font>
    <font>
      <sz val="11"/>
      <color rgb="FF00B050"/>
      <name val="Times New Roman"/>
      <family val="1"/>
    </font>
    <font>
      <sz val="1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/>
    <xf numFmtId="2" fontId="14" fillId="0" borderId="0" xfId="0" applyNumberFormat="1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1618547681539"/>
          <c:y val="5.0694003447337384E-2"/>
          <c:w val="0.7724838145231846"/>
          <c:h val="0.77038664610360141"/>
        </c:manualLayout>
      </c:layout>
      <c:lineChart>
        <c:grouping val="standard"/>
        <c:varyColors val="0"/>
        <c:ser>
          <c:idx val="0"/>
          <c:order val="0"/>
          <c:tx>
            <c:strRef>
              <c:f>sheet1!$W$2</c:f>
              <c:strCache>
                <c:ptCount val="1"/>
                <c:pt idx="0">
                  <c:v>2009年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sheet1!$V$3:$V$7</c:f>
              <c:strCache>
                <c:ptCount val="5"/>
                <c:pt idx="0">
                  <c:v>东部地区</c:v>
                </c:pt>
                <c:pt idx="1">
                  <c:v>中部地区</c:v>
                </c:pt>
                <c:pt idx="2">
                  <c:v>西部地区</c:v>
                </c:pt>
                <c:pt idx="3">
                  <c:v>东北地区</c:v>
                </c:pt>
                <c:pt idx="4">
                  <c:v>全国平均</c:v>
                </c:pt>
              </c:strCache>
            </c:strRef>
          </c:cat>
          <c:val>
            <c:numRef>
              <c:f>sheet1!$W$3:$W$7</c:f>
              <c:numCache>
                <c:formatCode>0.00</c:formatCode>
                <c:ptCount val="5"/>
                <c:pt idx="0">
                  <c:v>89.115590292060887</c:v>
                </c:pt>
                <c:pt idx="1">
                  <c:v>84.785353535353508</c:v>
                </c:pt>
                <c:pt idx="2">
                  <c:v>84.271284271284273</c:v>
                </c:pt>
                <c:pt idx="3">
                  <c:v>82.539682539682545</c:v>
                </c:pt>
                <c:pt idx="4">
                  <c:v>85.1779776595953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E-4F58-A3E5-949DDAAB8D19}"/>
            </c:ext>
          </c:extLst>
        </c:ser>
        <c:ser>
          <c:idx val="1"/>
          <c:order val="1"/>
          <c:tx>
            <c:strRef>
              <c:f>sheet1!$X$2</c:f>
              <c:strCache>
                <c:ptCount val="1"/>
                <c:pt idx="0">
                  <c:v>2017年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sheet1!$V$3:$V$7</c:f>
              <c:strCache>
                <c:ptCount val="5"/>
                <c:pt idx="0">
                  <c:v>东部地区</c:v>
                </c:pt>
                <c:pt idx="1">
                  <c:v>中部地区</c:v>
                </c:pt>
                <c:pt idx="2">
                  <c:v>西部地区</c:v>
                </c:pt>
                <c:pt idx="3">
                  <c:v>东北地区</c:v>
                </c:pt>
                <c:pt idx="4">
                  <c:v>全国平均</c:v>
                </c:pt>
              </c:strCache>
            </c:strRef>
          </c:cat>
          <c:val>
            <c:numRef>
              <c:f>sheet1!$X$3:$X$7</c:f>
              <c:numCache>
                <c:formatCode>0.00</c:formatCode>
                <c:ptCount val="5"/>
                <c:pt idx="0">
                  <c:v>85.333000333000328</c:v>
                </c:pt>
                <c:pt idx="1">
                  <c:v>80.900920974450372</c:v>
                </c:pt>
                <c:pt idx="2">
                  <c:v>75.191197691197686</c:v>
                </c:pt>
                <c:pt idx="3">
                  <c:v>79.365079365079367</c:v>
                </c:pt>
                <c:pt idx="4">
                  <c:v>80.197549590931942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FE-4F58-A3E5-949DDAAB8D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03928207"/>
        <c:axId val="2103928687"/>
      </c:lineChart>
      <c:catAx>
        <c:axId val="2103928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地区</a:t>
                </a:r>
              </a:p>
            </c:rich>
          </c:tx>
          <c:layout>
            <c:manualLayout>
              <c:xMode val="edge"/>
              <c:yMode val="edge"/>
              <c:x val="0.92764698162729664"/>
              <c:y val="0.81350739363149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103928687"/>
        <c:crosses val="autoZero"/>
        <c:auto val="1"/>
        <c:lblAlgn val="ctr"/>
        <c:lblOffset val="100"/>
        <c:noMultiLvlLbl val="0"/>
      </c:catAx>
      <c:valAx>
        <c:axId val="2103928687"/>
        <c:scaling>
          <c:orientation val="minMax"/>
          <c:max val="100"/>
          <c:min val="70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占比（</a:t>
                </a:r>
                <a:r>
                  <a:rPr lang="en-US" altLang="zh-CN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%</a:t>
                </a:r>
                <a:r>
                  <a:rPr lang="zh-CN" altLang="en-US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2.998965798784359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10392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"/>
          <c:y val="0.90384105960264904"/>
          <c:w val="0.34"/>
          <c:h val="7.3116211557652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478267</xdr:colOff>
      <xdr:row>8</xdr:row>
      <xdr:rowOff>90992</xdr:rowOff>
    </xdr:from>
    <xdr:to>
      <xdr:col>24</xdr:col>
      <xdr:colOff>173467</xdr:colOff>
      <xdr:row>22</xdr:row>
      <xdr:rowOff>73062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1F3C48-DBCB-2198-181F-DF0C7DAC9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A060-DA25-4CD0-AA8A-F6C356C0F056}">
  <dimension ref="A1:X35"/>
  <sheetViews>
    <sheetView tabSelected="1" zoomScaleNormal="100" workbookViewId="0">
      <selection activeCell="B13" sqref="B13"/>
    </sheetView>
  </sheetViews>
  <sheetFormatPr defaultRowHeight="15.6" x14ac:dyDescent="0.25"/>
  <cols>
    <col min="1" max="1" width="10.44140625" style="6" customWidth="1"/>
    <col min="2" max="2" width="14.44140625" style="1" customWidth="1"/>
    <col min="3" max="3" width="10.88671875" style="1" customWidth="1"/>
    <col min="4" max="4" width="15.109375" style="1" customWidth="1"/>
    <col min="5" max="6" width="14.44140625" style="1" customWidth="1"/>
    <col min="8" max="8" width="8.88671875" style="16"/>
    <col min="9" max="9" width="10.6640625" customWidth="1"/>
    <col min="10" max="11" width="8.88671875" style="18"/>
    <col min="13" max="13" width="8.88671875" style="16"/>
    <col min="15" max="16" width="8.88671875" style="18"/>
  </cols>
  <sheetData>
    <row r="1" spans="1:24" s="10" customFormat="1" ht="28.8" x14ac:dyDescent="0.25">
      <c r="A1" s="8" t="s">
        <v>31</v>
      </c>
      <c r="B1" s="9" t="s">
        <v>30</v>
      </c>
      <c r="C1" s="11" t="s">
        <v>32</v>
      </c>
      <c r="D1" s="5" t="s">
        <v>33</v>
      </c>
      <c r="E1" s="5" t="s">
        <v>34</v>
      </c>
      <c r="F1" s="5" t="s">
        <v>35</v>
      </c>
      <c r="H1" s="16"/>
      <c r="I1" s="5" t="s">
        <v>33</v>
      </c>
      <c r="J1" s="17" t="s">
        <v>48</v>
      </c>
      <c r="K1" s="17" t="s">
        <v>49</v>
      </c>
      <c r="L1" s="5"/>
      <c r="M1" s="16"/>
      <c r="N1"/>
      <c r="O1" s="17" t="s">
        <v>48</v>
      </c>
      <c r="P1" s="17" t="s">
        <v>49</v>
      </c>
      <c r="Q1"/>
      <c r="R1"/>
      <c r="S1"/>
      <c r="T1"/>
      <c r="U1"/>
      <c r="V1"/>
      <c r="W1"/>
      <c r="X1"/>
    </row>
    <row r="2" spans="1:24" ht="16.2" x14ac:dyDescent="0.3">
      <c r="B2" s="1">
        <v>1</v>
      </c>
      <c r="C2" s="2">
        <v>11</v>
      </c>
      <c r="D2" s="4" t="s">
        <v>4</v>
      </c>
      <c r="E2" s="3">
        <v>1</v>
      </c>
      <c r="F2" s="3">
        <v>1</v>
      </c>
      <c r="H2" s="20" t="s">
        <v>37</v>
      </c>
      <c r="I2" s="4" t="s">
        <v>4</v>
      </c>
      <c r="J2" s="13">
        <v>1</v>
      </c>
      <c r="K2" s="13">
        <v>1</v>
      </c>
      <c r="L2" s="12"/>
      <c r="M2" s="20" t="s">
        <v>37</v>
      </c>
      <c r="N2" s="4" t="s">
        <v>4</v>
      </c>
      <c r="O2" s="13">
        <v>1</v>
      </c>
      <c r="P2" s="13">
        <v>1</v>
      </c>
      <c r="S2" t="s">
        <v>46</v>
      </c>
      <c r="T2" t="s">
        <v>45</v>
      </c>
      <c r="W2" t="s">
        <v>46</v>
      </c>
      <c r="X2" t="s">
        <v>45</v>
      </c>
    </row>
    <row r="3" spans="1:24" ht="16.2" x14ac:dyDescent="0.3">
      <c r="B3" s="1">
        <v>1</v>
      </c>
      <c r="C3" s="2">
        <v>12</v>
      </c>
      <c r="D3" s="4" t="s">
        <v>3</v>
      </c>
      <c r="E3" s="3">
        <v>1</v>
      </c>
      <c r="F3" s="3">
        <v>1</v>
      </c>
      <c r="H3" s="20"/>
      <c r="I3" s="4" t="s">
        <v>3</v>
      </c>
      <c r="J3" s="13">
        <v>1</v>
      </c>
      <c r="K3" s="13">
        <v>1</v>
      </c>
      <c r="L3" s="12"/>
      <c r="M3" s="20"/>
      <c r="N3" s="4" t="s">
        <v>3</v>
      </c>
      <c r="O3" s="13">
        <v>1</v>
      </c>
      <c r="P3" s="13">
        <v>1</v>
      </c>
      <c r="R3" t="s">
        <v>41</v>
      </c>
      <c r="S3" s="14">
        <v>0.89115590292060887</v>
      </c>
      <c r="T3" s="14">
        <v>0.85333000333000331</v>
      </c>
      <c r="V3" t="s">
        <v>41</v>
      </c>
      <c r="W3" s="14">
        <f t="shared" ref="W3:X7" si="0">S3*100</f>
        <v>89.115590292060887</v>
      </c>
      <c r="X3" s="14">
        <f t="shared" si="0"/>
        <v>85.333000333000328</v>
      </c>
    </row>
    <row r="4" spans="1:24" ht="16.2" x14ac:dyDescent="0.3">
      <c r="B4" s="1">
        <v>11</v>
      </c>
      <c r="C4" s="2">
        <v>13</v>
      </c>
      <c r="D4" s="4" t="s">
        <v>2</v>
      </c>
      <c r="E4" s="3">
        <v>0.72727272727272729</v>
      </c>
      <c r="F4" s="3">
        <v>0.63636363636363635</v>
      </c>
      <c r="H4" s="20"/>
      <c r="I4" s="4" t="s">
        <v>8</v>
      </c>
      <c r="J4" s="13">
        <v>1</v>
      </c>
      <c r="K4" s="13">
        <v>1</v>
      </c>
      <c r="L4" s="12"/>
      <c r="M4" s="20"/>
      <c r="N4" s="4" t="s">
        <v>8</v>
      </c>
      <c r="O4" s="13">
        <v>1</v>
      </c>
      <c r="P4" s="13">
        <v>1</v>
      </c>
      <c r="R4" t="s">
        <v>42</v>
      </c>
      <c r="S4" s="14">
        <v>0.84785353535353514</v>
      </c>
      <c r="T4" s="14">
        <v>0.80900920974450374</v>
      </c>
      <c r="V4" t="s">
        <v>42</v>
      </c>
      <c r="W4" s="14">
        <f t="shared" si="0"/>
        <v>84.785353535353508</v>
      </c>
      <c r="X4" s="14">
        <f t="shared" si="0"/>
        <v>80.900920974450372</v>
      </c>
    </row>
    <row r="5" spans="1:24" ht="16.2" x14ac:dyDescent="0.3">
      <c r="B5" s="1">
        <v>11</v>
      </c>
      <c r="C5" s="2">
        <v>14</v>
      </c>
      <c r="D5" s="4" t="s">
        <v>1</v>
      </c>
      <c r="E5" s="3">
        <v>0.90909090909090906</v>
      </c>
      <c r="F5" s="3">
        <v>1</v>
      </c>
      <c r="H5" s="20"/>
      <c r="I5" s="4" t="s">
        <v>13</v>
      </c>
      <c r="J5" s="13">
        <v>1</v>
      </c>
      <c r="K5" s="13">
        <v>1</v>
      </c>
      <c r="L5" s="12"/>
      <c r="M5" s="20"/>
      <c r="N5" s="4" t="s">
        <v>13</v>
      </c>
      <c r="O5" s="13">
        <v>1</v>
      </c>
      <c r="P5" s="13">
        <v>1</v>
      </c>
      <c r="R5" t="s">
        <v>43</v>
      </c>
      <c r="S5" s="14">
        <v>0.84271284271284275</v>
      </c>
      <c r="T5" s="14">
        <v>0.75191197691197686</v>
      </c>
      <c r="V5" t="s">
        <v>43</v>
      </c>
      <c r="W5" s="14">
        <f t="shared" si="0"/>
        <v>84.271284271284273</v>
      </c>
      <c r="X5" s="14">
        <f t="shared" si="0"/>
        <v>75.191197691197686</v>
      </c>
    </row>
    <row r="6" spans="1:24" ht="16.2" x14ac:dyDescent="0.3">
      <c r="B6" s="1">
        <v>9</v>
      </c>
      <c r="C6" s="2">
        <v>15</v>
      </c>
      <c r="D6" s="4" t="s">
        <v>0</v>
      </c>
      <c r="E6" s="3">
        <v>0.66666666666666663</v>
      </c>
      <c r="F6" s="3">
        <v>0.66666666666666663</v>
      </c>
      <c r="H6" s="20"/>
      <c r="I6" s="4" t="s">
        <v>14</v>
      </c>
      <c r="J6" s="13">
        <v>0.76470588235294112</v>
      </c>
      <c r="K6" s="13">
        <v>1</v>
      </c>
      <c r="L6" s="12"/>
      <c r="M6" s="20"/>
      <c r="N6" s="4" t="s">
        <v>14</v>
      </c>
      <c r="O6" s="13">
        <v>0.76470588235294112</v>
      </c>
      <c r="P6" s="13">
        <v>1</v>
      </c>
      <c r="R6" t="s">
        <v>44</v>
      </c>
      <c r="S6" s="15">
        <v>0.82539682539682546</v>
      </c>
      <c r="T6" s="14">
        <v>0.79365079365079361</v>
      </c>
      <c r="V6" t="s">
        <v>44</v>
      </c>
      <c r="W6" s="14">
        <f t="shared" si="0"/>
        <v>82.539682539682545</v>
      </c>
      <c r="X6" s="14">
        <f t="shared" si="0"/>
        <v>79.365079365079367</v>
      </c>
    </row>
    <row r="7" spans="1:24" x14ac:dyDescent="0.25">
      <c r="B7" s="1">
        <v>14</v>
      </c>
      <c r="C7" s="1">
        <v>21</v>
      </c>
      <c r="D7" s="4" t="s">
        <v>6</v>
      </c>
      <c r="E7" s="3">
        <v>0.7142857142857143</v>
      </c>
      <c r="F7" s="3">
        <v>0.6428571428571429</v>
      </c>
      <c r="H7" s="20"/>
      <c r="I7" s="4" t="s">
        <v>26</v>
      </c>
      <c r="J7" s="13">
        <v>1</v>
      </c>
      <c r="K7" s="13">
        <v>0.80952380952380953</v>
      </c>
      <c r="L7" s="3"/>
      <c r="M7" s="20"/>
      <c r="N7" s="4" t="s">
        <v>26</v>
      </c>
      <c r="O7" s="13">
        <v>1</v>
      </c>
      <c r="P7" s="13">
        <v>0.80952380952380953</v>
      </c>
      <c r="R7" t="s">
        <v>47</v>
      </c>
      <c r="S7" s="15">
        <f>AVERAGE(S3:S6)</f>
        <v>0.85177977659595305</v>
      </c>
      <c r="T7" s="15">
        <f>AVERAGE(T3:T6)</f>
        <v>0.80197549590931938</v>
      </c>
      <c r="V7" t="s">
        <v>47</v>
      </c>
      <c r="W7" s="14">
        <f t="shared" si="0"/>
        <v>85.1779776595953</v>
      </c>
      <c r="X7" s="14">
        <f t="shared" si="0"/>
        <v>80.197549590931942</v>
      </c>
    </row>
    <row r="8" spans="1:24" x14ac:dyDescent="0.25">
      <c r="B8" s="1">
        <v>8</v>
      </c>
      <c r="C8" s="1">
        <v>22</v>
      </c>
      <c r="D8" s="4" t="s">
        <v>5</v>
      </c>
      <c r="E8" s="3">
        <v>1</v>
      </c>
      <c r="F8" s="3">
        <v>1</v>
      </c>
      <c r="H8" s="20"/>
      <c r="I8" s="4" t="s">
        <v>10</v>
      </c>
      <c r="J8" s="13">
        <v>0.69230769230769229</v>
      </c>
      <c r="K8" s="13">
        <v>0.76923076923076927</v>
      </c>
      <c r="L8" s="3"/>
      <c r="M8" s="20"/>
      <c r="N8" s="4" t="s">
        <v>10</v>
      </c>
      <c r="O8" s="13">
        <v>0.69230769230769229</v>
      </c>
      <c r="P8" s="13">
        <v>0.76923076923076927</v>
      </c>
    </row>
    <row r="9" spans="1:24" x14ac:dyDescent="0.25">
      <c r="B9" s="1">
        <v>12</v>
      </c>
      <c r="C9" s="1">
        <v>23</v>
      </c>
      <c r="D9" s="4" t="s">
        <v>7</v>
      </c>
      <c r="E9" s="3">
        <v>0.66666666666666663</v>
      </c>
      <c r="F9" s="3">
        <v>0.83333333333333337</v>
      </c>
      <c r="H9" s="20"/>
      <c r="I9" s="4" t="s">
        <v>9</v>
      </c>
      <c r="J9" s="13">
        <v>0.81818181818181823</v>
      </c>
      <c r="K9" s="13">
        <v>0.72727272727272729</v>
      </c>
      <c r="L9" s="3"/>
      <c r="M9" s="20"/>
      <c r="N9" s="4" t="s">
        <v>9</v>
      </c>
      <c r="O9" s="13">
        <v>0.81818181818181823</v>
      </c>
      <c r="P9" s="13">
        <v>0.72727272727272729</v>
      </c>
    </row>
    <row r="10" spans="1:24" x14ac:dyDescent="0.25">
      <c r="B10" s="1">
        <v>1</v>
      </c>
      <c r="C10" s="1">
        <v>31</v>
      </c>
      <c r="D10" s="4" t="s">
        <v>8</v>
      </c>
      <c r="E10" s="3">
        <v>1</v>
      </c>
      <c r="F10" s="3">
        <v>1</v>
      </c>
      <c r="H10" s="20"/>
      <c r="I10" s="4" t="s">
        <v>2</v>
      </c>
      <c r="J10" s="13">
        <v>0.63636363636363602</v>
      </c>
      <c r="K10" s="13">
        <v>0.72727272727272729</v>
      </c>
      <c r="L10" s="3"/>
      <c r="M10" s="20"/>
      <c r="N10" s="4" t="s">
        <v>2</v>
      </c>
      <c r="O10" s="13">
        <v>0.63636363636363602</v>
      </c>
      <c r="P10" s="13">
        <v>0.72727272727272729</v>
      </c>
    </row>
    <row r="11" spans="1:24" x14ac:dyDescent="0.25">
      <c r="B11" s="1">
        <v>13</v>
      </c>
      <c r="C11" s="1">
        <v>32</v>
      </c>
      <c r="D11" s="4" t="s">
        <v>10</v>
      </c>
      <c r="E11" s="3">
        <v>0.76923076923076927</v>
      </c>
      <c r="F11" s="3">
        <v>0.69230769230769229</v>
      </c>
      <c r="H11" s="20"/>
      <c r="I11" s="4" t="s">
        <v>25</v>
      </c>
      <c r="J11" s="13">
        <v>1</v>
      </c>
      <c r="K11" s="13">
        <v>0.5</v>
      </c>
      <c r="L11" s="3"/>
      <c r="M11" s="20"/>
      <c r="N11" s="4" t="s">
        <v>25</v>
      </c>
      <c r="O11" s="13">
        <v>1</v>
      </c>
      <c r="P11" s="13">
        <v>0.5</v>
      </c>
    </row>
    <row r="12" spans="1:24" x14ac:dyDescent="0.25">
      <c r="B12" s="1">
        <v>11</v>
      </c>
      <c r="C12" s="1">
        <v>33</v>
      </c>
      <c r="D12" s="4" t="s">
        <v>9</v>
      </c>
      <c r="E12" s="3">
        <v>0.72727272727272729</v>
      </c>
      <c r="F12" s="3">
        <v>0.81818181818181823</v>
      </c>
      <c r="H12" s="20" t="s">
        <v>38</v>
      </c>
      <c r="I12" s="4" t="s">
        <v>27</v>
      </c>
      <c r="J12" s="13">
        <v>1</v>
      </c>
      <c r="K12" s="13">
        <v>1</v>
      </c>
      <c r="L12" s="12"/>
      <c r="O12" s="19">
        <f>AVERAGE(O2:O11)</f>
        <v>0.89115590292060887</v>
      </c>
      <c r="P12" s="19">
        <f>AVERAGE(P2:P11)</f>
        <v>0.85333000333000331</v>
      </c>
    </row>
    <row r="13" spans="1:24" x14ac:dyDescent="0.25">
      <c r="B13" s="1">
        <v>16</v>
      </c>
      <c r="C13" s="1">
        <v>34</v>
      </c>
      <c r="D13" s="4" t="s">
        <v>11</v>
      </c>
      <c r="E13" s="3">
        <v>0.625</v>
      </c>
      <c r="F13" s="3">
        <v>0.625</v>
      </c>
      <c r="H13" s="20"/>
      <c r="I13" s="4" t="s">
        <v>29</v>
      </c>
      <c r="J13" s="13">
        <v>1</v>
      </c>
      <c r="K13" s="13">
        <v>0.94117647058823528</v>
      </c>
      <c r="L13" s="3"/>
      <c r="M13" s="20" t="s">
        <v>38</v>
      </c>
      <c r="N13" s="4" t="s">
        <v>27</v>
      </c>
      <c r="O13" s="13">
        <v>1</v>
      </c>
      <c r="P13" s="13">
        <v>1</v>
      </c>
    </row>
    <row r="14" spans="1:24" x14ac:dyDescent="0.25">
      <c r="B14" s="1">
        <v>9</v>
      </c>
      <c r="C14" s="1">
        <v>35</v>
      </c>
      <c r="D14" s="4" t="s">
        <v>13</v>
      </c>
      <c r="E14" s="3">
        <v>1</v>
      </c>
      <c r="F14" s="3">
        <v>1</v>
      </c>
      <c r="H14" s="20"/>
      <c r="I14" s="4" t="s">
        <v>1</v>
      </c>
      <c r="J14" s="13">
        <v>1</v>
      </c>
      <c r="K14" s="13">
        <v>0.90909090909090906</v>
      </c>
      <c r="L14" s="3"/>
      <c r="M14" s="20"/>
      <c r="N14" s="4" t="s">
        <v>29</v>
      </c>
      <c r="O14" s="13">
        <v>1</v>
      </c>
      <c r="P14" s="13">
        <v>0.94117647058823528</v>
      </c>
    </row>
    <row r="15" spans="1:24" x14ac:dyDescent="0.25">
      <c r="B15" s="1">
        <v>11</v>
      </c>
      <c r="C15" s="1">
        <v>36</v>
      </c>
      <c r="D15" s="4" t="s">
        <v>12</v>
      </c>
      <c r="E15" s="3">
        <v>0.54545454545454541</v>
      </c>
      <c r="F15" s="3">
        <v>0.54545454545454541</v>
      </c>
      <c r="H15" s="20"/>
      <c r="I15" s="4" t="s">
        <v>28</v>
      </c>
      <c r="J15" s="13">
        <v>0.91666666666666663</v>
      </c>
      <c r="K15" s="13">
        <v>0.83333333333333337</v>
      </c>
      <c r="L15" s="3"/>
      <c r="M15" s="20"/>
      <c r="N15" s="4" t="s">
        <v>1</v>
      </c>
      <c r="O15" s="13">
        <v>1</v>
      </c>
      <c r="P15" s="13">
        <v>0.90909090909090906</v>
      </c>
    </row>
    <row r="16" spans="1:24" x14ac:dyDescent="0.25">
      <c r="B16" s="1">
        <v>17</v>
      </c>
      <c r="C16" s="1">
        <v>37</v>
      </c>
      <c r="D16" s="4" t="s">
        <v>14</v>
      </c>
      <c r="E16" s="3">
        <v>1</v>
      </c>
      <c r="F16" s="3">
        <v>0.76470588235294112</v>
      </c>
      <c r="H16" s="20"/>
      <c r="I16" s="4" t="s">
        <v>11</v>
      </c>
      <c r="J16" s="13">
        <v>0.625</v>
      </c>
      <c r="K16" s="13">
        <v>0.625</v>
      </c>
      <c r="L16" s="3"/>
      <c r="M16" s="20"/>
      <c r="N16" s="4" t="s">
        <v>28</v>
      </c>
      <c r="O16" s="13">
        <v>0.91666666666666663</v>
      </c>
      <c r="P16" s="13">
        <v>0.83333333333333337</v>
      </c>
    </row>
    <row r="17" spans="2:16" x14ac:dyDescent="0.25">
      <c r="B17" s="1">
        <v>17</v>
      </c>
      <c r="C17" s="1">
        <v>41</v>
      </c>
      <c r="D17" s="4" t="s">
        <v>29</v>
      </c>
      <c r="E17" s="3">
        <v>0.94117647058823528</v>
      </c>
      <c r="F17" s="3">
        <v>1</v>
      </c>
      <c r="H17" s="20"/>
      <c r="I17" s="4" t="s">
        <v>12</v>
      </c>
      <c r="J17" s="13">
        <v>0.54545454545454541</v>
      </c>
      <c r="K17" s="13">
        <v>0.54545454545454541</v>
      </c>
      <c r="L17" s="3"/>
      <c r="M17" s="20"/>
      <c r="N17" s="4" t="s">
        <v>11</v>
      </c>
      <c r="O17" s="13">
        <v>0.625</v>
      </c>
      <c r="P17" s="13">
        <v>0.625</v>
      </c>
    </row>
    <row r="18" spans="2:16" x14ac:dyDescent="0.25">
      <c r="B18" s="1">
        <v>12</v>
      </c>
      <c r="C18" s="1">
        <v>42</v>
      </c>
      <c r="D18" s="4" t="s">
        <v>28</v>
      </c>
      <c r="E18" s="3">
        <v>0.83333333333333337</v>
      </c>
      <c r="F18" s="3">
        <v>0.91666666666666663</v>
      </c>
      <c r="H18" s="20" t="s">
        <v>39</v>
      </c>
      <c r="I18" s="4" t="s">
        <v>0</v>
      </c>
      <c r="J18" s="13">
        <v>0.66666666666666663</v>
      </c>
      <c r="K18" s="13">
        <v>0.66666666666666663</v>
      </c>
      <c r="L18" s="3"/>
      <c r="M18" s="20"/>
      <c r="N18" s="4" t="s">
        <v>12</v>
      </c>
      <c r="O18" s="13">
        <v>0.54545454545454541</v>
      </c>
      <c r="P18" s="13">
        <v>0.54545454545454541</v>
      </c>
    </row>
    <row r="19" spans="2:16" x14ac:dyDescent="0.25">
      <c r="B19" s="1">
        <v>13</v>
      </c>
      <c r="C19" s="1">
        <v>43</v>
      </c>
      <c r="D19" s="4" t="s">
        <v>27</v>
      </c>
      <c r="E19" s="3">
        <v>1</v>
      </c>
      <c r="F19" s="3">
        <v>1</v>
      </c>
      <c r="H19" s="20"/>
      <c r="I19" s="4" t="s">
        <v>24</v>
      </c>
      <c r="J19" s="13">
        <v>1</v>
      </c>
      <c r="K19" s="13">
        <v>1</v>
      </c>
      <c r="L19" s="12"/>
      <c r="O19" s="19">
        <f>AVERAGE(O13:O18)</f>
        <v>0.84785353535353514</v>
      </c>
      <c r="P19" s="19">
        <f>AVERAGE(P13:P18)</f>
        <v>0.80900920974450374</v>
      </c>
    </row>
    <row r="20" spans="2:16" x14ac:dyDescent="0.25">
      <c r="B20" s="1">
        <v>21</v>
      </c>
      <c r="C20" s="1">
        <v>44</v>
      </c>
      <c r="D20" s="4" t="s">
        <v>26</v>
      </c>
      <c r="E20" s="3">
        <v>0.80952380952380953</v>
      </c>
      <c r="F20" s="3">
        <v>1</v>
      </c>
      <c r="H20" s="20"/>
      <c r="I20" s="4" t="s">
        <v>18</v>
      </c>
      <c r="J20" s="13">
        <v>1</v>
      </c>
      <c r="K20" s="13">
        <v>1</v>
      </c>
      <c r="L20" s="12"/>
      <c r="M20" s="20" t="s">
        <v>39</v>
      </c>
      <c r="N20" s="4" t="s">
        <v>0</v>
      </c>
      <c r="O20" s="13">
        <v>0.66666666666666663</v>
      </c>
      <c r="P20" s="13">
        <v>0.66666666666666663</v>
      </c>
    </row>
    <row r="21" spans="2:16" x14ac:dyDescent="0.25">
      <c r="B21" s="1">
        <v>14</v>
      </c>
      <c r="C21" s="1">
        <v>45</v>
      </c>
      <c r="D21" s="4" t="s">
        <v>15</v>
      </c>
      <c r="E21" s="3">
        <v>0.8571428571428571</v>
      </c>
      <c r="F21" s="3">
        <v>0.7142857142857143</v>
      </c>
      <c r="H21" s="20"/>
      <c r="I21" s="4" t="s">
        <v>16</v>
      </c>
      <c r="J21" s="13">
        <v>1</v>
      </c>
      <c r="K21" s="13">
        <v>1</v>
      </c>
      <c r="L21" s="12"/>
      <c r="M21" s="20"/>
      <c r="N21" s="4" t="s">
        <v>24</v>
      </c>
      <c r="O21" s="13">
        <v>1</v>
      </c>
      <c r="P21" s="13">
        <v>1</v>
      </c>
    </row>
    <row r="22" spans="2:16" x14ac:dyDescent="0.25">
      <c r="B22" s="1">
        <v>2</v>
      </c>
      <c r="C22" s="1">
        <v>46</v>
      </c>
      <c r="D22" s="4" t="s">
        <v>25</v>
      </c>
      <c r="E22" s="3">
        <v>0.5</v>
      </c>
      <c r="F22" s="3">
        <v>1</v>
      </c>
      <c r="H22" s="20"/>
      <c r="I22" s="4" t="s">
        <v>20</v>
      </c>
      <c r="J22" s="13">
        <v>0.9</v>
      </c>
      <c r="K22" s="13">
        <v>0.9</v>
      </c>
      <c r="L22" s="3"/>
      <c r="M22" s="20"/>
      <c r="N22" s="4" t="s">
        <v>18</v>
      </c>
      <c r="O22" s="13">
        <v>1</v>
      </c>
      <c r="P22" s="13">
        <v>1</v>
      </c>
    </row>
    <row r="23" spans="2:16" x14ac:dyDescent="0.25">
      <c r="B23" s="1">
        <v>1</v>
      </c>
      <c r="C23" s="1">
        <v>50</v>
      </c>
      <c r="D23" s="4" t="s">
        <v>24</v>
      </c>
      <c r="E23" s="3">
        <v>1</v>
      </c>
      <c r="F23" s="3">
        <v>1</v>
      </c>
      <c r="H23" s="20"/>
      <c r="I23" s="4" t="s">
        <v>23</v>
      </c>
      <c r="J23" s="13">
        <v>0.88888888888888884</v>
      </c>
      <c r="K23" s="13">
        <v>0.88888888888888884</v>
      </c>
      <c r="L23" s="3"/>
      <c r="M23" s="20"/>
      <c r="N23" s="4" t="s">
        <v>16</v>
      </c>
      <c r="O23" s="13">
        <v>1</v>
      </c>
      <c r="P23" s="13">
        <v>1</v>
      </c>
    </row>
    <row r="24" spans="2:16" x14ac:dyDescent="0.25">
      <c r="B24" s="1">
        <v>18</v>
      </c>
      <c r="C24" s="1">
        <v>51</v>
      </c>
      <c r="D24" s="4" t="s">
        <v>23</v>
      </c>
      <c r="E24" s="3">
        <v>0.88888888888888884</v>
      </c>
      <c r="F24" s="3">
        <v>0.88888888888888884</v>
      </c>
      <c r="H24" s="20"/>
      <c r="I24" s="4" t="s">
        <v>21</v>
      </c>
      <c r="J24" s="13">
        <v>0.75</v>
      </c>
      <c r="K24" s="13">
        <v>0.875</v>
      </c>
      <c r="L24" s="3"/>
      <c r="M24" s="20"/>
      <c r="N24" s="4" t="s">
        <v>20</v>
      </c>
      <c r="O24" s="13">
        <v>0.9</v>
      </c>
      <c r="P24" s="13">
        <v>0.9</v>
      </c>
    </row>
    <row r="25" spans="2:16" x14ac:dyDescent="0.25">
      <c r="B25" s="1">
        <v>4</v>
      </c>
      <c r="C25" s="1">
        <v>52</v>
      </c>
      <c r="D25" s="4" t="s">
        <v>22</v>
      </c>
      <c r="E25" s="3">
        <v>0.5</v>
      </c>
      <c r="F25" s="3">
        <v>1</v>
      </c>
      <c r="H25" s="20"/>
      <c r="I25" s="4" t="s">
        <v>15</v>
      </c>
      <c r="J25" s="13">
        <v>0.7142857142857143</v>
      </c>
      <c r="K25" s="13">
        <v>0.8571428571428571</v>
      </c>
      <c r="L25" s="3"/>
      <c r="M25" s="20"/>
      <c r="N25" s="4" t="s">
        <v>23</v>
      </c>
      <c r="O25" s="13">
        <v>0.88888888888888884</v>
      </c>
      <c r="P25" s="13">
        <v>0.88888888888888884</v>
      </c>
    </row>
    <row r="26" spans="2:16" x14ac:dyDescent="0.25">
      <c r="B26" s="1">
        <v>8</v>
      </c>
      <c r="C26" s="1">
        <v>53</v>
      </c>
      <c r="D26" s="4" t="s">
        <v>21</v>
      </c>
      <c r="E26" s="3">
        <v>0.875</v>
      </c>
      <c r="F26" s="3">
        <v>0.75</v>
      </c>
      <c r="H26" s="20"/>
      <c r="I26" s="4" t="s">
        <v>19</v>
      </c>
      <c r="J26" s="13">
        <v>0.75</v>
      </c>
      <c r="K26" s="13">
        <v>0.58333333333333337</v>
      </c>
      <c r="L26" s="3"/>
      <c r="M26" s="20"/>
      <c r="N26" s="4" t="s">
        <v>21</v>
      </c>
      <c r="O26" s="13">
        <v>0.75</v>
      </c>
      <c r="P26" s="13">
        <v>0.875</v>
      </c>
    </row>
    <row r="27" spans="2:16" x14ac:dyDescent="0.25">
      <c r="B27" s="1">
        <v>10</v>
      </c>
      <c r="C27" s="1">
        <v>61</v>
      </c>
      <c r="D27" s="4" t="s">
        <v>20</v>
      </c>
      <c r="E27" s="3">
        <v>0.9</v>
      </c>
      <c r="F27" s="3">
        <v>0.9</v>
      </c>
      <c r="H27" s="20"/>
      <c r="I27" s="4" t="s">
        <v>22</v>
      </c>
      <c r="J27" s="13">
        <v>1</v>
      </c>
      <c r="K27" s="13">
        <v>0.5</v>
      </c>
      <c r="L27" s="3"/>
      <c r="M27" s="20"/>
      <c r="N27" s="4" t="s">
        <v>15</v>
      </c>
      <c r="O27" s="13">
        <v>0.7142857142857143</v>
      </c>
      <c r="P27" s="13">
        <v>0.8571428571428571</v>
      </c>
    </row>
    <row r="28" spans="2:16" x14ac:dyDescent="0.25">
      <c r="B28" s="1">
        <v>12</v>
      </c>
      <c r="C28" s="1">
        <v>62</v>
      </c>
      <c r="D28" s="4" t="s">
        <v>19</v>
      </c>
      <c r="E28" s="3">
        <v>0.58333333333333337</v>
      </c>
      <c r="F28" s="3">
        <v>0.75</v>
      </c>
      <c r="H28" s="20"/>
      <c r="I28" s="4" t="s">
        <v>17</v>
      </c>
      <c r="J28" s="13">
        <v>0.6</v>
      </c>
      <c r="K28" s="13">
        <v>0</v>
      </c>
      <c r="L28" s="3"/>
      <c r="M28" s="20"/>
      <c r="N28" s="4" t="s">
        <v>19</v>
      </c>
      <c r="O28" s="13">
        <v>0.75</v>
      </c>
      <c r="P28" s="13">
        <v>0.58333333333333337</v>
      </c>
    </row>
    <row r="29" spans="2:16" x14ac:dyDescent="0.25">
      <c r="B29" s="1">
        <v>1</v>
      </c>
      <c r="C29" s="1">
        <v>63</v>
      </c>
      <c r="D29" s="4" t="s">
        <v>18</v>
      </c>
      <c r="E29" s="3">
        <v>1</v>
      </c>
      <c r="F29" s="3">
        <v>1</v>
      </c>
      <c r="H29" s="20" t="s">
        <v>44</v>
      </c>
      <c r="I29" s="4" t="s">
        <v>5</v>
      </c>
      <c r="J29" s="13">
        <v>1</v>
      </c>
      <c r="K29" s="13">
        <v>1</v>
      </c>
      <c r="L29" s="12"/>
      <c r="M29" s="20"/>
      <c r="N29" s="4" t="s">
        <v>22</v>
      </c>
      <c r="O29" s="13">
        <v>1</v>
      </c>
      <c r="P29" s="13">
        <v>0.5</v>
      </c>
    </row>
    <row r="30" spans="2:16" x14ac:dyDescent="0.25">
      <c r="B30" s="1">
        <v>5</v>
      </c>
      <c r="C30" s="1">
        <v>64</v>
      </c>
      <c r="D30" s="4" t="s">
        <v>17</v>
      </c>
      <c r="E30" s="3">
        <v>0</v>
      </c>
      <c r="F30" s="3">
        <v>0.6</v>
      </c>
      <c r="H30" s="20"/>
      <c r="I30" s="4" t="s">
        <v>6</v>
      </c>
      <c r="J30" s="13">
        <v>0.6428571428571429</v>
      </c>
      <c r="K30" s="13">
        <v>0.7142857142857143</v>
      </c>
      <c r="L30" s="3"/>
      <c r="M30" s="20"/>
      <c r="N30" s="4" t="s">
        <v>17</v>
      </c>
      <c r="O30" s="13">
        <v>0.6</v>
      </c>
      <c r="P30" s="13">
        <v>0</v>
      </c>
    </row>
    <row r="31" spans="2:16" x14ac:dyDescent="0.25">
      <c r="B31" s="1">
        <v>2</v>
      </c>
      <c r="C31" s="1">
        <v>65</v>
      </c>
      <c r="D31" s="4" t="s">
        <v>16</v>
      </c>
      <c r="E31" s="3">
        <v>1</v>
      </c>
      <c r="F31" s="3">
        <v>1</v>
      </c>
      <c r="H31" s="20"/>
      <c r="I31" s="4" t="s">
        <v>7</v>
      </c>
      <c r="J31" s="13">
        <v>0.83333333333333337</v>
      </c>
      <c r="K31" s="13">
        <v>0.66666666666666663</v>
      </c>
      <c r="L31" s="3"/>
      <c r="O31" s="19">
        <f>AVERAGE(O20:O30)</f>
        <v>0.84271284271284275</v>
      </c>
      <c r="P31" s="19">
        <f>AVERAGE(P20:P30)</f>
        <v>0.75191197691197686</v>
      </c>
    </row>
    <row r="32" spans="2:16" x14ac:dyDescent="0.25">
      <c r="B32" s="1">
        <v>285</v>
      </c>
      <c r="D32" s="7" t="s">
        <v>36</v>
      </c>
      <c r="E32" s="3">
        <v>0.79649122807017547</v>
      </c>
      <c r="F32" s="3">
        <v>0.82456140350877194</v>
      </c>
      <c r="H32" s="16" t="s">
        <v>40</v>
      </c>
      <c r="I32" s="7"/>
      <c r="J32" s="13">
        <f>AVERAGE(J2:J31)</f>
        <v>0.85815706624530141</v>
      </c>
      <c r="K32" s="13">
        <f>AVERAGE(K2:K31)</f>
        <v>0.80131131395837274</v>
      </c>
      <c r="L32" s="3"/>
      <c r="M32" s="20" t="s">
        <v>44</v>
      </c>
      <c r="N32" s="4" t="s">
        <v>5</v>
      </c>
      <c r="O32" s="13">
        <v>1</v>
      </c>
      <c r="P32" s="13">
        <v>1</v>
      </c>
    </row>
    <row r="33" spans="13:16" x14ac:dyDescent="0.25">
      <c r="M33" s="20"/>
      <c r="N33" s="4" t="s">
        <v>6</v>
      </c>
      <c r="O33" s="13">
        <v>0.6428571428571429</v>
      </c>
      <c r="P33" s="13">
        <v>0.7142857142857143</v>
      </c>
    </row>
    <row r="34" spans="13:16" x14ac:dyDescent="0.25">
      <c r="M34" s="20"/>
      <c r="N34" s="4" t="s">
        <v>7</v>
      </c>
      <c r="O34" s="13">
        <v>0.83333333333333337</v>
      </c>
      <c r="P34" s="13">
        <v>0.66666666666666663</v>
      </c>
    </row>
    <row r="35" spans="13:16" x14ac:dyDescent="0.25">
      <c r="O35" s="19">
        <f>AVERAGE(O32:O34)</f>
        <v>0.82539682539682546</v>
      </c>
      <c r="P35" s="19">
        <f>AVERAGE(P32:P34)</f>
        <v>0.79365079365079361</v>
      </c>
    </row>
  </sheetData>
  <mergeCells count="8">
    <mergeCell ref="M32:M34"/>
    <mergeCell ref="H2:H11"/>
    <mergeCell ref="M2:M11"/>
    <mergeCell ref="H12:H17"/>
    <mergeCell ref="M13:M18"/>
    <mergeCell ref="H18:H28"/>
    <mergeCell ref="M20:M30"/>
    <mergeCell ref="H29:H3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 user</dc:creator>
  <cp:lastModifiedBy>user one</cp:lastModifiedBy>
  <dcterms:created xsi:type="dcterms:W3CDTF">2015-06-05T18:19:34Z</dcterms:created>
  <dcterms:modified xsi:type="dcterms:W3CDTF">2026-01-16T06:31:36Z</dcterms:modified>
</cp:coreProperties>
</file>