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我的论文\城乡建设用地增减挂钩跨省交易\投稿\图表\"/>
    </mc:Choice>
  </mc:AlternateContent>
  <xr:revisionPtr revIDLastSave="0" documentId="13_ncr:1_{DD8FF33F-6E71-4ACB-BD4D-0E3E6B5B706B}" xr6:coauthVersionLast="47" xr6:coauthVersionMax="47" xr10:uidLastSave="{00000000-0000-0000-0000-000000000000}"/>
  <bookViews>
    <workbookView xWindow="-108" yWindow="-108" windowWidth="23256" windowHeight="12576" activeTab="2" xr2:uid="{16BDC1F4-6537-455F-82CC-2EA49EF7F78D}"/>
  </bookViews>
  <sheets>
    <sheet name="（c）省内地级市之间" sheetId="1" r:id="rId1"/>
    <sheet name="（b）省份之间" sheetId="2" r:id="rId2"/>
    <sheet name="（a）地区之间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3" l="1"/>
  <c r="B56" i="3"/>
  <c r="B50" i="3"/>
  <c r="H43" i="3"/>
  <c r="G43" i="3"/>
  <c r="C43" i="3"/>
  <c r="B43" i="3"/>
  <c r="C37" i="3"/>
  <c r="C38" i="3"/>
  <c r="C39" i="3"/>
  <c r="B37" i="3"/>
  <c r="B38" i="3"/>
  <c r="B39" i="3"/>
  <c r="B36" i="3"/>
  <c r="C36" i="3"/>
  <c r="G36" i="3"/>
  <c r="H36" i="3"/>
  <c r="T3" i="2"/>
  <c r="O4" i="2"/>
  <c r="P4" i="2"/>
  <c r="O5" i="2"/>
  <c r="P5" i="2"/>
  <c r="O6" i="2"/>
  <c r="P6" i="2"/>
  <c r="O7" i="2"/>
  <c r="P7" i="2"/>
  <c r="O8" i="2"/>
  <c r="P8" i="2"/>
  <c r="P3" i="2"/>
  <c r="O3" i="2"/>
  <c r="J14" i="2"/>
  <c r="K14" i="2"/>
  <c r="J15" i="2"/>
  <c r="K15" i="2"/>
  <c r="J16" i="2"/>
  <c r="K16" i="2"/>
  <c r="J17" i="2"/>
  <c r="K17" i="2"/>
  <c r="J18" i="2"/>
  <c r="K18" i="2"/>
  <c r="K13" i="2"/>
  <c r="J13" i="2"/>
  <c r="J4" i="2"/>
  <c r="K4" i="2"/>
  <c r="J5" i="2"/>
  <c r="K5" i="2"/>
  <c r="J6" i="2"/>
  <c r="K6" i="2"/>
  <c r="J7" i="2"/>
  <c r="K7" i="2"/>
  <c r="J8" i="2"/>
  <c r="K8" i="2"/>
  <c r="K3" i="2"/>
  <c r="J3" i="2"/>
  <c r="F14" i="2"/>
  <c r="G14" i="2"/>
  <c r="F15" i="2"/>
  <c r="G15" i="2"/>
  <c r="F16" i="2"/>
  <c r="G16" i="2"/>
  <c r="F17" i="2"/>
  <c r="G17" i="2"/>
  <c r="F18" i="2"/>
  <c r="G18" i="2"/>
  <c r="G13" i="2"/>
  <c r="F13" i="2"/>
  <c r="F4" i="2"/>
  <c r="G4" i="2"/>
  <c r="F5" i="2"/>
  <c r="G5" i="2"/>
  <c r="F6" i="2"/>
  <c r="G6" i="2"/>
  <c r="F7" i="2"/>
  <c r="G7" i="2"/>
  <c r="F8" i="2"/>
  <c r="G8" i="2"/>
  <c r="G3" i="2"/>
  <c r="F3" i="2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P3" i="1"/>
  <c r="O3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K18" i="1"/>
  <c r="J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G18" i="1"/>
  <c r="F18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K3" i="1"/>
  <c r="J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G3" i="1"/>
  <c r="F3" i="1"/>
  <c r="H39" i="3"/>
  <c r="G39" i="3"/>
  <c r="H38" i="3"/>
  <c r="G38" i="3"/>
  <c r="H37" i="3"/>
  <c r="G37" i="3"/>
  <c r="C9" i="2"/>
  <c r="B9" i="2"/>
  <c r="C19" i="2"/>
  <c r="B19" i="2"/>
  <c r="U7" i="2" l="1"/>
  <c r="G40" i="3"/>
  <c r="G46" i="3" s="1"/>
  <c r="G53" i="3" s="1"/>
  <c r="C40" i="3"/>
  <c r="C45" i="3" s="1"/>
  <c r="C52" i="3" s="1"/>
  <c r="H40" i="3"/>
  <c r="B40" i="3"/>
  <c r="C50" i="3" l="1"/>
  <c r="U6" i="2"/>
  <c r="U4" i="2"/>
  <c r="T5" i="2"/>
  <c r="G45" i="3"/>
  <c r="G52" i="3" s="1"/>
  <c r="G50" i="3"/>
  <c r="G44" i="3"/>
  <c r="G51" i="3" s="1"/>
  <c r="H44" i="3"/>
  <c r="H51" i="3" s="1"/>
  <c r="C44" i="3"/>
  <c r="C51" i="3" s="1"/>
  <c r="C46" i="3"/>
  <c r="C53" i="3" s="1"/>
  <c r="K19" i="2"/>
  <c r="U5" i="2"/>
  <c r="G19" i="2"/>
  <c r="U8" i="2"/>
  <c r="K9" i="2"/>
  <c r="T7" i="2"/>
  <c r="G9" i="2"/>
  <c r="T8" i="2"/>
  <c r="F19" i="2"/>
  <c r="T4" i="2"/>
  <c r="F9" i="2"/>
  <c r="H45" i="3"/>
  <c r="H52" i="3" s="1"/>
  <c r="H46" i="3"/>
  <c r="H53" i="3" s="1"/>
  <c r="C59" i="3" s="1"/>
  <c r="D64" i="3" s="1"/>
  <c r="B45" i="3"/>
  <c r="B52" i="3" s="1"/>
  <c r="B58" i="3" s="1"/>
  <c r="C62" i="3" s="1"/>
  <c r="B44" i="3"/>
  <c r="B51" i="3" s="1"/>
  <c r="B46" i="3"/>
  <c r="B53" i="3" s="1"/>
  <c r="B59" i="3" l="1"/>
  <c r="C64" i="3" s="1"/>
  <c r="C57" i="3"/>
  <c r="D65" i="3" s="1"/>
  <c r="G47" i="3"/>
  <c r="C58" i="3"/>
  <c r="D62" i="3" s="1"/>
  <c r="C47" i="3"/>
  <c r="C63" i="3"/>
  <c r="B57" i="3"/>
  <c r="C65" i="3" s="1"/>
  <c r="U3" i="2"/>
  <c r="J19" i="2"/>
  <c r="T6" i="2"/>
  <c r="J9" i="2"/>
  <c r="H47" i="3"/>
  <c r="H50" i="3"/>
  <c r="B47" i="3"/>
  <c r="D29" i="1"/>
  <c r="C29" i="1"/>
  <c r="D14" i="1"/>
  <c r="C14" i="1"/>
  <c r="D63" i="3" l="1"/>
  <c r="U3" i="1"/>
  <c r="U5" i="1"/>
  <c r="U10" i="1"/>
  <c r="U11" i="1"/>
  <c r="T10" i="1"/>
  <c r="T3" i="1"/>
  <c r="T6" i="1"/>
  <c r="U7" i="1"/>
  <c r="T8" i="1"/>
  <c r="T7" i="1"/>
  <c r="T4" i="1"/>
  <c r="U9" i="1"/>
  <c r="U13" i="1"/>
  <c r="T12" i="1"/>
  <c r="T13" i="1"/>
  <c r="U8" i="1"/>
  <c r="T9" i="1"/>
  <c r="T5" i="1"/>
  <c r="U6" i="1"/>
  <c r="G14" i="1"/>
  <c r="K14" i="1"/>
  <c r="T11" i="1"/>
  <c r="U12" i="1"/>
  <c r="G29" i="1"/>
  <c r="K29" i="1"/>
  <c r="J14" i="1"/>
  <c r="J29" i="1"/>
  <c r="F29" i="1"/>
  <c r="F14" i="1"/>
  <c r="U4" i="1" l="1"/>
</calcChain>
</file>

<file path=xl/sharedStrings.xml><?xml version="1.0" encoding="utf-8"?>
<sst xmlns="http://schemas.openxmlformats.org/spreadsheetml/2006/main" count="312" uniqueCount="77">
  <si>
    <r>
      <rPr>
        <sz val="11"/>
        <color theme="1"/>
        <rFont val="宋体"/>
        <family val="3"/>
        <charset val="134"/>
      </rPr>
      <t>年底总人口（常住人口）（万人）</t>
    </r>
    <phoneticPr fontId="2" type="noConversion"/>
  </si>
  <si>
    <r>
      <t>2009</t>
    </r>
    <r>
      <rPr>
        <sz val="11"/>
        <color theme="1"/>
        <rFont val="宋体"/>
        <family val="3"/>
        <charset val="134"/>
      </rPr>
      <t>年</t>
    </r>
    <phoneticPr fontId="2" type="noConversion"/>
  </si>
  <si>
    <r>
      <rPr>
        <sz val="11"/>
        <color theme="1"/>
        <rFont val="宋体"/>
        <family val="3"/>
        <charset val="134"/>
      </rPr>
      <t>山西省</t>
    </r>
    <phoneticPr fontId="2" type="noConversion"/>
  </si>
  <si>
    <r>
      <rPr>
        <sz val="11"/>
        <color theme="1"/>
        <rFont val="宋体"/>
        <family val="3"/>
        <charset val="134"/>
      </rPr>
      <t>地级市</t>
    </r>
    <phoneticPr fontId="2" type="noConversion"/>
  </si>
  <si>
    <r>
      <rPr>
        <sz val="11"/>
        <color theme="1"/>
        <rFont val="宋体"/>
        <family val="3"/>
        <charset val="134"/>
      </rPr>
      <t>建设用地供应总量（公顷）</t>
    </r>
    <phoneticPr fontId="2" type="noConversion"/>
  </si>
  <si>
    <r>
      <rPr>
        <sz val="11"/>
        <color theme="1"/>
        <rFont val="宋体"/>
        <family val="3"/>
        <charset val="134"/>
      </rPr>
      <t>建设用地占全省比重</t>
    </r>
    <phoneticPr fontId="2" type="noConversion"/>
  </si>
  <si>
    <r>
      <rPr>
        <sz val="11"/>
        <color theme="1"/>
        <rFont val="宋体"/>
        <family val="3"/>
        <charset val="134"/>
      </rPr>
      <t>人口占全省比重</t>
    </r>
    <phoneticPr fontId="2" type="noConversion"/>
  </si>
  <si>
    <r>
      <t>2009</t>
    </r>
    <r>
      <rPr>
        <sz val="11"/>
        <color theme="1"/>
        <rFont val="宋体"/>
        <family val="3"/>
        <charset val="134"/>
      </rPr>
      <t>年</t>
    </r>
  </si>
  <si>
    <r>
      <t>2017</t>
    </r>
    <r>
      <rPr>
        <sz val="11"/>
        <color theme="1"/>
        <rFont val="宋体"/>
        <family val="3"/>
        <charset val="134"/>
      </rPr>
      <t>年</t>
    </r>
  </si>
  <si>
    <r>
      <t xml:space="preserve">  </t>
    </r>
    <r>
      <rPr>
        <sz val="11"/>
        <color theme="1"/>
        <rFont val="宋体"/>
        <family val="3"/>
        <charset val="134"/>
      </rPr>
      <t>太原市</t>
    </r>
  </si>
  <si>
    <r>
      <rPr>
        <sz val="11"/>
        <color theme="1"/>
        <rFont val="宋体"/>
        <family val="3"/>
        <charset val="134"/>
      </rPr>
      <t>缺口始终为正值</t>
    </r>
    <phoneticPr fontId="1" type="noConversion"/>
  </si>
  <si>
    <r>
      <t xml:space="preserve">  </t>
    </r>
    <r>
      <rPr>
        <sz val="11"/>
        <color theme="1"/>
        <rFont val="宋体"/>
        <family val="3"/>
        <charset val="134"/>
      </rPr>
      <t>阳泉市</t>
    </r>
  </si>
  <si>
    <r>
      <t xml:space="preserve">  </t>
    </r>
    <r>
      <rPr>
        <sz val="11"/>
        <color theme="1"/>
        <rFont val="宋体"/>
        <family val="3"/>
        <charset val="134"/>
      </rPr>
      <t>大同市</t>
    </r>
  </si>
  <si>
    <r>
      <t xml:space="preserve">  </t>
    </r>
    <r>
      <rPr>
        <sz val="11"/>
        <color theme="1"/>
        <rFont val="宋体"/>
        <family val="3"/>
        <charset val="134"/>
      </rPr>
      <t>晋中市</t>
    </r>
  </si>
  <si>
    <r>
      <t xml:space="preserve">  </t>
    </r>
    <r>
      <rPr>
        <sz val="11"/>
        <color theme="1"/>
        <rFont val="宋体"/>
        <family val="3"/>
        <charset val="134"/>
      </rPr>
      <t>长治市</t>
    </r>
  </si>
  <si>
    <r>
      <rPr>
        <sz val="11"/>
        <color theme="1"/>
        <rFont val="宋体"/>
        <family val="3"/>
        <charset val="134"/>
      </rPr>
      <t>缺口始终为负值</t>
    </r>
    <phoneticPr fontId="1" type="noConversion"/>
  </si>
  <si>
    <r>
      <t xml:space="preserve">  </t>
    </r>
    <r>
      <rPr>
        <sz val="11"/>
        <color theme="1"/>
        <rFont val="宋体"/>
        <family val="3"/>
        <charset val="134"/>
      </rPr>
      <t>晋城市</t>
    </r>
  </si>
  <si>
    <r>
      <t xml:space="preserve">  </t>
    </r>
    <r>
      <rPr>
        <sz val="11"/>
        <color theme="1"/>
        <rFont val="宋体"/>
        <family val="3"/>
        <charset val="134"/>
      </rPr>
      <t>忻州市</t>
    </r>
  </si>
  <si>
    <r>
      <t xml:space="preserve">  </t>
    </r>
    <r>
      <rPr>
        <sz val="11"/>
        <color theme="1"/>
        <rFont val="宋体"/>
        <family val="3"/>
        <charset val="134"/>
      </rPr>
      <t>朔州市</t>
    </r>
  </si>
  <si>
    <r>
      <t xml:space="preserve">  </t>
    </r>
    <r>
      <rPr>
        <sz val="11"/>
        <color theme="1"/>
        <rFont val="宋体"/>
        <family val="3"/>
        <charset val="134"/>
      </rPr>
      <t>临汾市</t>
    </r>
  </si>
  <si>
    <r>
      <rPr>
        <sz val="11"/>
        <color theme="1"/>
        <rFont val="宋体"/>
        <family val="3"/>
        <charset val="134"/>
      </rPr>
      <t>缺口由正转负</t>
    </r>
    <phoneticPr fontId="1" type="noConversion"/>
  </si>
  <si>
    <r>
      <t xml:space="preserve">  </t>
    </r>
    <r>
      <rPr>
        <sz val="11"/>
        <color theme="1"/>
        <rFont val="宋体"/>
        <family val="3"/>
        <charset val="134"/>
      </rPr>
      <t>运城市</t>
    </r>
  </si>
  <si>
    <r>
      <rPr>
        <sz val="11"/>
        <color theme="1"/>
        <rFont val="宋体"/>
        <family val="3"/>
        <charset val="134"/>
      </rPr>
      <t>缺口由负转正</t>
    </r>
    <phoneticPr fontId="1" type="noConversion"/>
  </si>
  <si>
    <r>
      <t xml:space="preserve">  </t>
    </r>
    <r>
      <rPr>
        <sz val="11"/>
        <color theme="1"/>
        <rFont val="宋体"/>
        <family val="3"/>
        <charset val="134"/>
      </rPr>
      <t>吕梁市</t>
    </r>
  </si>
  <si>
    <r>
      <t>2017</t>
    </r>
    <r>
      <rPr>
        <sz val="11"/>
        <color theme="1"/>
        <rFont val="宋体"/>
        <family val="3"/>
        <charset val="134"/>
      </rPr>
      <t>年</t>
    </r>
    <phoneticPr fontId="2" type="noConversion"/>
  </si>
  <si>
    <r>
      <rPr>
        <sz val="11"/>
        <color theme="1"/>
        <rFont val="宋体"/>
        <family val="3"/>
        <charset val="134"/>
      </rPr>
      <t>省份</t>
    </r>
    <phoneticPr fontId="2" type="noConversion"/>
  </si>
  <si>
    <r>
      <rPr>
        <sz val="11"/>
        <color theme="1"/>
        <rFont val="宋体"/>
        <family val="3"/>
        <charset val="134"/>
      </rPr>
      <t>北京</t>
    </r>
  </si>
  <si>
    <r>
      <rPr>
        <sz val="11"/>
        <color theme="1"/>
        <rFont val="宋体"/>
        <family val="3"/>
        <charset val="134"/>
      </rPr>
      <t>天津</t>
    </r>
  </si>
  <si>
    <r>
      <rPr>
        <sz val="11"/>
        <color theme="1"/>
        <rFont val="宋体"/>
        <family val="3"/>
        <charset val="134"/>
      </rPr>
      <t>河北</t>
    </r>
  </si>
  <si>
    <r>
      <rPr>
        <sz val="11"/>
        <color theme="1"/>
        <rFont val="宋体"/>
        <family val="3"/>
        <charset val="134"/>
      </rPr>
      <t>上海</t>
    </r>
  </si>
  <si>
    <r>
      <rPr>
        <sz val="11"/>
        <color theme="1"/>
        <rFont val="宋体"/>
        <family val="3"/>
        <charset val="134"/>
      </rPr>
      <t>江苏</t>
    </r>
  </si>
  <si>
    <r>
      <rPr>
        <sz val="11"/>
        <color theme="1"/>
        <rFont val="宋体"/>
        <family val="3"/>
        <charset val="134"/>
      </rPr>
      <t>浙江</t>
    </r>
  </si>
  <si>
    <r>
      <rPr>
        <sz val="11"/>
        <color theme="1"/>
        <rFont val="宋体"/>
        <family val="3"/>
        <charset val="134"/>
      </rPr>
      <t>福建</t>
    </r>
  </si>
  <si>
    <r>
      <rPr>
        <sz val="11"/>
        <color theme="1"/>
        <rFont val="宋体"/>
        <family val="3"/>
        <charset val="134"/>
      </rPr>
      <t>山东</t>
    </r>
  </si>
  <si>
    <r>
      <rPr>
        <sz val="11"/>
        <color theme="1"/>
        <rFont val="宋体"/>
        <family val="3"/>
        <charset val="134"/>
      </rPr>
      <t>广东</t>
    </r>
  </si>
  <si>
    <r>
      <rPr>
        <sz val="11"/>
        <color theme="1"/>
        <rFont val="宋体"/>
        <family val="3"/>
        <charset val="134"/>
      </rPr>
      <t>海南</t>
    </r>
  </si>
  <si>
    <r>
      <rPr>
        <sz val="11"/>
        <color theme="1"/>
        <rFont val="宋体"/>
        <family val="3"/>
        <charset val="134"/>
      </rPr>
      <t>山西</t>
    </r>
  </si>
  <si>
    <r>
      <rPr>
        <sz val="11"/>
        <color theme="1"/>
        <rFont val="宋体"/>
        <family val="3"/>
        <charset val="134"/>
      </rPr>
      <t>安徽</t>
    </r>
  </si>
  <si>
    <r>
      <rPr>
        <sz val="11"/>
        <color theme="1"/>
        <rFont val="宋体"/>
        <family val="3"/>
        <charset val="134"/>
      </rPr>
      <t>江西</t>
    </r>
  </si>
  <si>
    <r>
      <rPr>
        <sz val="11"/>
        <color theme="1"/>
        <rFont val="宋体"/>
        <family val="3"/>
        <charset val="134"/>
      </rPr>
      <t>河南</t>
    </r>
  </si>
  <si>
    <r>
      <rPr>
        <sz val="11"/>
        <color theme="1"/>
        <rFont val="宋体"/>
        <family val="3"/>
        <charset val="134"/>
      </rPr>
      <t>湖北</t>
    </r>
  </si>
  <si>
    <r>
      <rPr>
        <sz val="11"/>
        <color theme="1"/>
        <rFont val="宋体"/>
        <family val="3"/>
        <charset val="134"/>
      </rPr>
      <t>湖南</t>
    </r>
  </si>
  <si>
    <r>
      <rPr>
        <sz val="11"/>
        <color theme="1"/>
        <rFont val="宋体"/>
        <family val="3"/>
        <charset val="134"/>
      </rPr>
      <t>内蒙古</t>
    </r>
  </si>
  <si>
    <r>
      <rPr>
        <sz val="11"/>
        <color theme="1"/>
        <rFont val="宋体"/>
        <family val="3"/>
        <charset val="134"/>
      </rPr>
      <t>广西</t>
    </r>
  </si>
  <si>
    <r>
      <rPr>
        <sz val="11"/>
        <color theme="1"/>
        <rFont val="宋体"/>
        <family val="3"/>
        <charset val="134"/>
      </rPr>
      <t>重庆</t>
    </r>
  </si>
  <si>
    <r>
      <rPr>
        <sz val="11"/>
        <color theme="1"/>
        <rFont val="宋体"/>
        <family val="3"/>
        <charset val="134"/>
      </rPr>
      <t>四川</t>
    </r>
  </si>
  <si>
    <r>
      <rPr>
        <sz val="11"/>
        <color theme="1"/>
        <rFont val="宋体"/>
        <family val="3"/>
        <charset val="134"/>
      </rPr>
      <t>贵州</t>
    </r>
  </si>
  <si>
    <r>
      <rPr>
        <sz val="11"/>
        <color theme="1"/>
        <rFont val="宋体"/>
        <family val="3"/>
        <charset val="134"/>
      </rPr>
      <t>云南</t>
    </r>
  </si>
  <si>
    <r>
      <rPr>
        <sz val="11"/>
        <color theme="1"/>
        <rFont val="宋体"/>
        <family val="3"/>
        <charset val="134"/>
      </rPr>
      <t>西藏</t>
    </r>
  </si>
  <si>
    <r>
      <rPr>
        <sz val="11"/>
        <color theme="1"/>
        <rFont val="宋体"/>
        <family val="3"/>
        <charset val="134"/>
      </rPr>
      <t>陕西</t>
    </r>
  </si>
  <si>
    <r>
      <rPr>
        <sz val="11"/>
        <color theme="1"/>
        <rFont val="宋体"/>
        <family val="3"/>
        <charset val="134"/>
      </rPr>
      <t>甘肃</t>
    </r>
  </si>
  <si>
    <r>
      <rPr>
        <sz val="11"/>
        <color theme="1"/>
        <rFont val="宋体"/>
        <family val="3"/>
        <charset val="134"/>
      </rPr>
      <t>青海</t>
    </r>
  </si>
  <si>
    <r>
      <rPr>
        <sz val="11"/>
        <color theme="1"/>
        <rFont val="宋体"/>
        <family val="3"/>
        <charset val="134"/>
      </rPr>
      <t>宁夏</t>
    </r>
  </si>
  <si>
    <r>
      <rPr>
        <sz val="11"/>
        <color theme="1"/>
        <rFont val="宋体"/>
        <family val="3"/>
        <charset val="134"/>
      </rPr>
      <t>新疆</t>
    </r>
  </si>
  <si>
    <r>
      <rPr>
        <sz val="11"/>
        <color theme="1"/>
        <rFont val="宋体"/>
        <family val="3"/>
        <charset val="134"/>
      </rPr>
      <t>辽宁</t>
    </r>
  </si>
  <si>
    <r>
      <rPr>
        <sz val="11"/>
        <color theme="1"/>
        <rFont val="宋体"/>
        <family val="3"/>
        <charset val="134"/>
      </rPr>
      <t>吉林</t>
    </r>
  </si>
  <si>
    <r>
      <rPr>
        <sz val="11"/>
        <color theme="1"/>
        <rFont val="宋体"/>
        <family val="3"/>
        <charset val="134"/>
      </rPr>
      <t>黑龙江</t>
    </r>
  </si>
  <si>
    <r>
      <rPr>
        <sz val="11"/>
        <rFont val="宋体"/>
        <family val="3"/>
        <charset val="134"/>
      </rPr>
      <t>山西</t>
    </r>
  </si>
  <si>
    <r>
      <rPr>
        <sz val="11"/>
        <rFont val="宋体"/>
        <family val="3"/>
        <charset val="134"/>
      </rPr>
      <t>安徽</t>
    </r>
  </si>
  <si>
    <r>
      <rPr>
        <sz val="11"/>
        <rFont val="宋体"/>
        <family val="3"/>
        <charset val="134"/>
      </rPr>
      <t>江西</t>
    </r>
  </si>
  <si>
    <r>
      <rPr>
        <sz val="11"/>
        <rFont val="宋体"/>
        <family val="3"/>
        <charset val="134"/>
      </rPr>
      <t>河南</t>
    </r>
  </si>
  <si>
    <r>
      <rPr>
        <sz val="11"/>
        <rFont val="宋体"/>
        <family val="3"/>
        <charset val="134"/>
      </rPr>
      <t>湖北</t>
    </r>
  </si>
  <si>
    <r>
      <rPr>
        <sz val="11"/>
        <rFont val="宋体"/>
        <family val="3"/>
        <charset val="134"/>
      </rPr>
      <t>湖南</t>
    </r>
  </si>
  <si>
    <t>sum</t>
    <phoneticPr fontId="1" type="noConversion"/>
  </si>
  <si>
    <r>
      <rPr>
        <sz val="11"/>
        <color theme="1"/>
        <rFont val="宋体"/>
        <family val="3"/>
        <charset val="134"/>
      </rPr>
      <t>建设用地占全国比重</t>
    </r>
    <phoneticPr fontId="2" type="noConversion"/>
  </si>
  <si>
    <r>
      <rPr>
        <sz val="11"/>
        <color theme="1"/>
        <rFont val="宋体"/>
        <family val="3"/>
        <charset val="134"/>
      </rPr>
      <t>人口占全国比重</t>
    </r>
    <phoneticPr fontId="2" type="noConversion"/>
  </si>
  <si>
    <r>
      <rPr>
        <sz val="11"/>
        <color theme="1"/>
        <rFont val="宋体"/>
        <family val="3"/>
        <charset val="134"/>
      </rPr>
      <t>缺口始终为正值</t>
    </r>
    <phoneticPr fontId="2" type="noConversion"/>
  </si>
  <si>
    <r>
      <rPr>
        <sz val="11"/>
        <color theme="1"/>
        <rFont val="宋体"/>
        <family val="3"/>
        <charset val="134"/>
      </rPr>
      <t>缺口由正转负</t>
    </r>
  </si>
  <si>
    <r>
      <t>2009</t>
    </r>
    <r>
      <rPr>
        <sz val="11"/>
        <color theme="1"/>
        <rFont val="宋体"/>
        <family val="3"/>
        <charset val="134"/>
      </rPr>
      <t>年</t>
    </r>
    <phoneticPr fontId="1" type="noConversion"/>
  </si>
  <si>
    <r>
      <t>2017</t>
    </r>
    <r>
      <rPr>
        <sz val="11"/>
        <color theme="1"/>
        <rFont val="宋体"/>
        <family val="3"/>
        <charset val="134"/>
      </rPr>
      <t>年</t>
    </r>
    <phoneticPr fontId="1" type="noConversion"/>
  </si>
  <si>
    <r>
      <rPr>
        <sz val="11"/>
        <color theme="1"/>
        <rFont val="宋体"/>
        <family val="3"/>
        <charset val="134"/>
      </rPr>
      <t>东部地区</t>
    </r>
    <phoneticPr fontId="1" type="noConversion"/>
  </si>
  <si>
    <r>
      <rPr>
        <sz val="11"/>
        <color theme="1"/>
        <rFont val="宋体"/>
        <family val="3"/>
        <charset val="134"/>
      </rPr>
      <t>中部地区</t>
    </r>
    <phoneticPr fontId="1" type="noConversion"/>
  </si>
  <si>
    <r>
      <rPr>
        <sz val="11"/>
        <color theme="1"/>
        <rFont val="宋体"/>
        <family val="3"/>
        <charset val="134"/>
      </rPr>
      <t>西部地区</t>
    </r>
    <phoneticPr fontId="1" type="noConversion"/>
  </si>
  <si>
    <r>
      <rPr>
        <sz val="11"/>
        <color theme="1"/>
        <rFont val="宋体"/>
        <family val="3"/>
        <charset val="134"/>
      </rPr>
      <t>东北地区</t>
    </r>
    <phoneticPr fontId="1" type="noConversion"/>
  </si>
  <si>
    <r>
      <rPr>
        <sz val="11"/>
        <color theme="1"/>
        <rFont val="宋体"/>
        <family val="3"/>
        <charset val="134"/>
      </rPr>
      <t>全国</t>
    </r>
    <phoneticPr fontId="1" type="noConversion"/>
  </si>
  <si>
    <r>
      <rPr>
        <sz val="11"/>
        <color theme="1"/>
        <rFont val="宋体"/>
        <family val="3"/>
        <charset val="134"/>
      </rPr>
      <t>常住人口占全国比重</t>
    </r>
    <phoneticPr fontId="2" type="noConversion"/>
  </si>
  <si>
    <r>
      <rPr>
        <sz val="11"/>
        <color theme="1"/>
        <rFont val="宋体"/>
        <family val="3"/>
        <charset val="134"/>
      </rPr>
      <t>缺口由负转正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</si>
</sst>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01471537369305"/>
          <c:y val="5.0925925925925923E-2"/>
          <c:w val="0.82420743513618178"/>
          <c:h val="0.852475211431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'（c）省内地级市之间'!$T$2</c:f>
              <c:strCache>
                <c:ptCount val="1"/>
                <c:pt idx="0">
                  <c:v>2009年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'（c）省内地级市之间'!$R$3:$S$13</c:f>
              <c:multiLvlStrCache>
                <c:ptCount val="11"/>
                <c:lvl>
                  <c:pt idx="0">
                    <c:v>  运城市</c:v>
                  </c:pt>
                  <c:pt idx="1">
                    <c:v>  太原市</c:v>
                  </c:pt>
                  <c:pt idx="2">
                    <c:v>  朔州市</c:v>
                  </c:pt>
                  <c:pt idx="3">
                    <c:v>  临汾市</c:v>
                  </c:pt>
                  <c:pt idx="4">
                    <c:v>  晋中市</c:v>
                  </c:pt>
                  <c:pt idx="5">
                    <c:v>  忻州市</c:v>
                  </c:pt>
                  <c:pt idx="6">
                    <c:v>  晋城市</c:v>
                  </c:pt>
                  <c:pt idx="7">
                    <c:v>  大同市</c:v>
                  </c:pt>
                  <c:pt idx="8">
                    <c:v>  阳泉市</c:v>
                  </c:pt>
                  <c:pt idx="9">
                    <c:v>  吕梁市</c:v>
                  </c:pt>
                  <c:pt idx="10">
                    <c:v>  长治市</c:v>
                  </c:pt>
                </c:lvl>
                <c:lvl>
                  <c:pt idx="0">
                    <c:v>缺口始终为正值</c:v>
                  </c:pt>
                  <c:pt idx="3">
                    <c:v>缺口始终为负值</c:v>
                  </c:pt>
                  <c:pt idx="6">
                    <c:v>缺口由正转负</c:v>
                  </c:pt>
                  <c:pt idx="8">
                    <c:v>缺口由负转正</c:v>
                  </c:pt>
                </c:lvl>
              </c:multiLvlStrCache>
            </c:multiLvlStrRef>
          </c:cat>
          <c:val>
            <c:numRef>
              <c:f>'（c）省内地级市之间'!$T$3:$T$13</c:f>
              <c:numCache>
                <c:formatCode>0.00</c:formatCode>
                <c:ptCount val="11"/>
                <c:pt idx="0">
                  <c:v>2.8540158703654424</c:v>
                </c:pt>
                <c:pt idx="1">
                  <c:v>4.0507988388630842</c:v>
                </c:pt>
                <c:pt idx="2">
                  <c:v>3.2547801488643771</c:v>
                </c:pt>
                <c:pt idx="3">
                  <c:v>-0.13000642204690394</c:v>
                </c:pt>
                <c:pt idx="4">
                  <c:v>-4.7509669830765109</c:v>
                </c:pt>
                <c:pt idx="5">
                  <c:v>-5.4864150613650899</c:v>
                </c:pt>
                <c:pt idx="6">
                  <c:v>2.0635197067925581</c:v>
                </c:pt>
                <c:pt idx="7">
                  <c:v>3.3954151249785198</c:v>
                </c:pt>
                <c:pt idx="8">
                  <c:v>-6.2344427960839166E-2</c:v>
                </c:pt>
                <c:pt idx="9">
                  <c:v>-2.5208127271252581</c:v>
                </c:pt>
                <c:pt idx="10">
                  <c:v>-2.6679840682893747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2-4332-87AF-CB8CC1A06773}"/>
            </c:ext>
          </c:extLst>
        </c:ser>
        <c:ser>
          <c:idx val="1"/>
          <c:order val="1"/>
          <c:tx>
            <c:strRef>
              <c:f>'（c）省内地级市之间'!$U$2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'（c）省内地级市之间'!$R$3:$S$13</c:f>
              <c:multiLvlStrCache>
                <c:ptCount val="11"/>
                <c:lvl>
                  <c:pt idx="0">
                    <c:v>  运城市</c:v>
                  </c:pt>
                  <c:pt idx="1">
                    <c:v>  太原市</c:v>
                  </c:pt>
                  <c:pt idx="2">
                    <c:v>  朔州市</c:v>
                  </c:pt>
                  <c:pt idx="3">
                    <c:v>  临汾市</c:v>
                  </c:pt>
                  <c:pt idx="4">
                    <c:v>  晋中市</c:v>
                  </c:pt>
                  <c:pt idx="5">
                    <c:v>  忻州市</c:v>
                  </c:pt>
                  <c:pt idx="6">
                    <c:v>  晋城市</c:v>
                  </c:pt>
                  <c:pt idx="7">
                    <c:v>  大同市</c:v>
                  </c:pt>
                  <c:pt idx="8">
                    <c:v>  阳泉市</c:v>
                  </c:pt>
                  <c:pt idx="9">
                    <c:v>  吕梁市</c:v>
                  </c:pt>
                  <c:pt idx="10">
                    <c:v>  长治市</c:v>
                  </c:pt>
                </c:lvl>
                <c:lvl>
                  <c:pt idx="0">
                    <c:v>缺口始终为正值</c:v>
                  </c:pt>
                  <c:pt idx="3">
                    <c:v>缺口始终为负值</c:v>
                  </c:pt>
                  <c:pt idx="6">
                    <c:v>缺口由正转负</c:v>
                  </c:pt>
                  <c:pt idx="8">
                    <c:v>缺口由负转正</c:v>
                  </c:pt>
                </c:lvl>
              </c:multiLvlStrCache>
            </c:multiLvlStrRef>
          </c:cat>
          <c:val>
            <c:numRef>
              <c:f>'（c）省内地级市之间'!$U$3:$U$13</c:f>
              <c:numCache>
                <c:formatCode>0.00</c:formatCode>
                <c:ptCount val="11"/>
                <c:pt idx="0">
                  <c:v>0.40697303308697919</c:v>
                </c:pt>
                <c:pt idx="1">
                  <c:v>0.26391643655219887</c:v>
                </c:pt>
                <c:pt idx="2">
                  <c:v>3.8878612397881325</c:v>
                </c:pt>
                <c:pt idx="3">
                  <c:v>-3.2821812363123275</c:v>
                </c:pt>
                <c:pt idx="4">
                  <c:v>-0.66271458116052884</c:v>
                </c:pt>
                <c:pt idx="5">
                  <c:v>-1.5486560465882704E-2</c:v>
                </c:pt>
                <c:pt idx="6">
                  <c:v>-2.3639999020164622</c:v>
                </c:pt>
                <c:pt idx="7">
                  <c:v>-0.5799416337293497</c:v>
                </c:pt>
                <c:pt idx="8">
                  <c:v>1.109570130882648</c:v>
                </c:pt>
                <c:pt idx="9">
                  <c:v>0.59000128291229181</c:v>
                </c:pt>
                <c:pt idx="10">
                  <c:v>0.64600179046228057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2-4332-87AF-CB8CC1A06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204063"/>
        <c:axId val="488200223"/>
      </c:barChart>
      <c:catAx>
        <c:axId val="488204063"/>
        <c:scaling>
          <c:orientation val="minMax"/>
        </c:scaling>
        <c:delete val="0"/>
        <c:axPos val="b"/>
        <c:title>
          <c:tx>
            <c:rich>
              <a:bodyPr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latin typeface="宋体" panose="02010600030101010101" pitchFamily="2" charset="-122"/>
                    <a:ea typeface="宋体" panose="02010600030101010101" pitchFamily="2" charset="-122"/>
                  </a:rPr>
                  <a:t>地级市</a:t>
                </a:r>
              </a:p>
            </c:rich>
          </c:tx>
          <c:layout>
            <c:manualLayout>
              <c:xMode val="edge"/>
              <c:yMode val="edge"/>
              <c:x val="0.9509039807524059"/>
              <c:y val="0.501975794692330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88200223"/>
        <c:crosses val="autoZero"/>
        <c:auto val="1"/>
        <c:lblAlgn val="ctr"/>
        <c:lblOffset val="100"/>
        <c:noMultiLvlLbl val="0"/>
      </c:catAx>
      <c:valAx>
        <c:axId val="488200223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建设用地配置缺口</a:t>
                </a:r>
              </a:p>
            </c:rich>
          </c:tx>
          <c:layout>
            <c:manualLayout>
              <c:xMode val="edge"/>
              <c:yMode val="edge"/>
              <c:x val="8.4699453551912544E-3"/>
              <c:y val="4.299722951297754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8820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80271933221466"/>
          <c:y val="0.92191965587634883"/>
          <c:w val="0.23585904220988771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5579615048119"/>
          <c:y val="5.0925925925925923E-2"/>
          <c:w val="0.79055314960629908"/>
          <c:h val="0.849883712452610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'（b）省份之间'!$T$2</c:f>
              <c:strCache>
                <c:ptCount val="1"/>
                <c:pt idx="0">
                  <c:v>2009年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'（b）省份之间'!$R$3:$S$9</c:f>
              <c:multiLvlStrCache>
                <c:ptCount val="6"/>
                <c:lvl>
                  <c:pt idx="0">
                    <c:v>山西</c:v>
                  </c:pt>
                  <c:pt idx="1">
                    <c:v>河南</c:v>
                  </c:pt>
                  <c:pt idx="2">
                    <c:v>湖南</c:v>
                  </c:pt>
                  <c:pt idx="3">
                    <c:v>安徽</c:v>
                  </c:pt>
                  <c:pt idx="4">
                    <c:v>江西</c:v>
                  </c:pt>
                  <c:pt idx="5">
                    <c:v>湖北</c:v>
                  </c:pt>
                </c:lvl>
                <c:lvl>
                  <c:pt idx="0">
                    <c:v>缺口始终为负值</c:v>
                  </c:pt>
                  <c:pt idx="3">
                    <c:v>缺口由正转负</c:v>
                  </c:pt>
                  <c:pt idx="5">
                    <c:v>缺口由负转正</c:v>
                  </c:pt>
                </c:lvl>
              </c:multiLvlStrCache>
            </c:multiLvlStrRef>
          </c:cat>
          <c:val>
            <c:numRef>
              <c:f>'（b）省份之间'!$T$3:$T$8</c:f>
              <c:numCache>
                <c:formatCode>0.00</c:formatCode>
                <c:ptCount val="6"/>
                <c:pt idx="0">
                  <c:v>-1.8389464577423285</c:v>
                </c:pt>
                <c:pt idx="1">
                  <c:v>-5.0615758276772844</c:v>
                </c:pt>
                <c:pt idx="2">
                  <c:v>-7.4397784382067087</c:v>
                </c:pt>
                <c:pt idx="3">
                  <c:v>4.1842346163333488</c:v>
                </c:pt>
                <c:pt idx="4">
                  <c:v>12.081353814430338</c:v>
                </c:pt>
                <c:pt idx="5">
                  <c:v>-1.9252877071373646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D-4385-9E58-9972F2EFC3E4}"/>
            </c:ext>
          </c:extLst>
        </c:ser>
        <c:ser>
          <c:idx val="1"/>
          <c:order val="1"/>
          <c:tx>
            <c:strRef>
              <c:f>'（b）省份之间'!$U$2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'（b）省份之间'!$R$3:$S$9</c:f>
              <c:multiLvlStrCache>
                <c:ptCount val="6"/>
                <c:lvl>
                  <c:pt idx="0">
                    <c:v>山西</c:v>
                  </c:pt>
                  <c:pt idx="1">
                    <c:v>河南</c:v>
                  </c:pt>
                  <c:pt idx="2">
                    <c:v>湖南</c:v>
                  </c:pt>
                  <c:pt idx="3">
                    <c:v>安徽</c:v>
                  </c:pt>
                  <c:pt idx="4">
                    <c:v>江西</c:v>
                  </c:pt>
                  <c:pt idx="5">
                    <c:v>湖北</c:v>
                  </c:pt>
                </c:lvl>
                <c:lvl>
                  <c:pt idx="0">
                    <c:v>缺口始终为负值</c:v>
                  </c:pt>
                  <c:pt idx="3">
                    <c:v>缺口由正转负</c:v>
                  </c:pt>
                  <c:pt idx="5">
                    <c:v>缺口由负转正</c:v>
                  </c:pt>
                </c:lvl>
              </c:multiLvlStrCache>
            </c:multiLvlStrRef>
          </c:cat>
          <c:val>
            <c:numRef>
              <c:f>'（b）省份之间'!$U$3:$U$8</c:f>
              <c:numCache>
                <c:formatCode>0.00</c:formatCode>
                <c:ptCount val="6"/>
                <c:pt idx="0">
                  <c:v>-5.5154150144305598</c:v>
                </c:pt>
                <c:pt idx="1">
                  <c:v>-2.4461611913016235</c:v>
                </c:pt>
                <c:pt idx="2">
                  <c:v>-8.4246754013623395</c:v>
                </c:pt>
                <c:pt idx="3">
                  <c:v>-2.9922992437188096</c:v>
                </c:pt>
                <c:pt idx="4">
                  <c:v>-1.8981605053019983</c:v>
                </c:pt>
                <c:pt idx="5">
                  <c:v>21.276711356115324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D-4385-9E58-9972F2EFC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855455"/>
        <c:axId val="304118783"/>
      </c:barChart>
      <c:catAx>
        <c:axId val="299855455"/>
        <c:scaling>
          <c:orientation val="minMax"/>
        </c:scaling>
        <c:delete val="0"/>
        <c:axPos val="b"/>
        <c:title>
          <c:tx>
            <c:rich>
              <a:bodyPr spcFirstLastPara="1" vertOverflow="ellipsis" vert="eaVert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 sz="900">
                    <a:latin typeface="宋体" panose="02010600030101010101" pitchFamily="2" charset="-122"/>
                    <a:ea typeface="宋体" panose="02010600030101010101" pitchFamily="2" charset="-122"/>
                  </a:rPr>
                  <a:t>省份</a:t>
                </a:r>
              </a:p>
            </c:rich>
          </c:tx>
          <c:layout>
            <c:manualLayout>
              <c:xMode val="edge"/>
              <c:yMode val="edge"/>
              <c:x val="0.9511817585301835"/>
              <c:y val="0.629315085614298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04118783"/>
        <c:crosses val="autoZero"/>
        <c:auto val="1"/>
        <c:lblAlgn val="ctr"/>
        <c:lblOffset val="100"/>
        <c:noMultiLvlLbl val="0"/>
      </c:catAx>
      <c:valAx>
        <c:axId val="304118783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建设用地配置缺口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3.3737970253718282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9985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7825896762908"/>
          <c:y val="5.0925925925925923E-2"/>
          <c:w val="0.80621062992125969"/>
          <c:h val="0.854513342082239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'（a）地区之间'!$C$61</c:f>
              <c:strCache>
                <c:ptCount val="1"/>
                <c:pt idx="0">
                  <c:v>2009年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'（a）地区之间'!$A$62:$B$65</c:f>
              <c:multiLvlStrCache>
                <c:ptCount val="4"/>
                <c:lvl>
                  <c:pt idx="0">
                    <c:v>西部地区</c:v>
                  </c:pt>
                  <c:pt idx="1">
                    <c:v>东部地区</c:v>
                  </c:pt>
                  <c:pt idx="2">
                    <c:v>东北地区</c:v>
                  </c:pt>
                  <c:pt idx="3">
                    <c:v>中部地区</c:v>
                  </c:pt>
                </c:lvl>
                <c:lvl>
                  <c:pt idx="0">
                    <c:v>缺口始终为正值</c:v>
                  </c:pt>
                  <c:pt idx="1">
                    <c:v>缺口由正转负</c:v>
                  </c:pt>
                  <c:pt idx="3">
                    <c:v>缺口由负转正</c:v>
                  </c:pt>
                </c:lvl>
              </c:multiLvlStrCache>
            </c:multiLvlStrRef>
          </c:cat>
          <c:val>
            <c:numRef>
              <c:f>'（a）地区之间'!$C$62:$C$65</c:f>
              <c:numCache>
                <c:formatCode>0.00</c:formatCode>
                <c:ptCount val="4"/>
                <c:pt idx="0">
                  <c:v>0.45013435643008393</c:v>
                </c:pt>
                <c:pt idx="1">
                  <c:v>4.2143479323851736</c:v>
                </c:pt>
                <c:pt idx="2">
                  <c:v>4.0362930290043604</c:v>
                </c:pt>
                <c:pt idx="3">
                  <c:v>-8.7007753178196232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2-4825-84F6-1C3597B33F8E}"/>
            </c:ext>
          </c:extLst>
        </c:ser>
        <c:ser>
          <c:idx val="1"/>
          <c:order val="1"/>
          <c:tx>
            <c:strRef>
              <c:f>'（a）地区之间'!$D$61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'（a）地区之间'!$A$62:$B$65</c:f>
              <c:multiLvlStrCache>
                <c:ptCount val="4"/>
                <c:lvl>
                  <c:pt idx="0">
                    <c:v>西部地区</c:v>
                  </c:pt>
                  <c:pt idx="1">
                    <c:v>东部地区</c:v>
                  </c:pt>
                  <c:pt idx="2">
                    <c:v>东北地区</c:v>
                  </c:pt>
                  <c:pt idx="3">
                    <c:v>中部地区</c:v>
                  </c:pt>
                </c:lvl>
                <c:lvl>
                  <c:pt idx="0">
                    <c:v>缺口始终为正值</c:v>
                  </c:pt>
                  <c:pt idx="1">
                    <c:v>缺口由正转负</c:v>
                  </c:pt>
                  <c:pt idx="3">
                    <c:v>缺口由负转正</c:v>
                  </c:pt>
                </c:lvl>
              </c:multiLvlStrCache>
            </c:multiLvlStrRef>
          </c:cat>
          <c:val>
            <c:numRef>
              <c:f>'（a）地区之间'!$D$62:$D$65</c:f>
              <c:numCache>
                <c:formatCode>0.00</c:formatCode>
                <c:ptCount val="4"/>
                <c:pt idx="0">
                  <c:v>2.046367795674815</c:v>
                </c:pt>
                <c:pt idx="1">
                  <c:v>-7.1665318370282449</c:v>
                </c:pt>
                <c:pt idx="2">
                  <c:v>-1.9224464714244389</c:v>
                </c:pt>
                <c:pt idx="3">
                  <c:v>7.0426105127778698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02-4825-84F6-1C3597B33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416719"/>
        <c:axId val="2100418159"/>
      </c:barChart>
      <c:catAx>
        <c:axId val="2100416719"/>
        <c:scaling>
          <c:orientation val="minMax"/>
        </c:scaling>
        <c:delete val="0"/>
        <c:axPos val="b"/>
        <c:title>
          <c:tx>
            <c:rich>
              <a:bodyPr spcFirstLastPara="1" vertOverflow="ellipsis" vert="eaVert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r>
                  <a:rPr lang="zh-CN" altLang="en-US" sz="900">
                    <a:latin typeface="宋体" panose="02010600030101010101" pitchFamily="2" charset="-122"/>
                    <a:ea typeface="宋体" panose="02010600030101010101" pitchFamily="2" charset="-122"/>
                  </a:rPr>
                  <a:t>地区</a:t>
                </a:r>
              </a:p>
            </c:rich>
          </c:tx>
          <c:layout>
            <c:manualLayout>
              <c:xMode val="edge"/>
              <c:yMode val="edge"/>
              <c:x val="0.94967235345581802"/>
              <c:y val="0.447105934674832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100418159"/>
        <c:crosses val="autoZero"/>
        <c:auto val="1"/>
        <c:lblAlgn val="ctr"/>
        <c:lblOffset val="100"/>
        <c:noMultiLvlLbl val="0"/>
      </c:catAx>
      <c:valAx>
        <c:axId val="2100418159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900">
                    <a:latin typeface="宋体" panose="02010600030101010101" pitchFamily="2" charset="-122"/>
                    <a:ea typeface="宋体" panose="02010600030101010101" pitchFamily="2" charset="-122"/>
                  </a:rPr>
                  <a:t>建设用地配置缺口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5.2256488772236806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0041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43832020997382"/>
          <c:y val="0.91266039661708953"/>
          <c:w val="0.23979002624671916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220980</xdr:colOff>
      <xdr:row>15</xdr:row>
      <xdr:rowOff>76200</xdr:rowOff>
    </xdr:from>
    <xdr:to>
      <xdr:col>20</xdr:col>
      <xdr:colOff>449580</xdr:colOff>
      <xdr:row>28</xdr:row>
      <xdr:rowOff>60960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5399DC-4159-3538-F8F9-D05D9EBD2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586740</xdr:colOff>
      <xdr:row>8</xdr:row>
      <xdr:rowOff>68580</xdr:rowOff>
    </xdr:from>
    <xdr:to>
      <xdr:col>20</xdr:col>
      <xdr:colOff>213360</xdr:colOff>
      <xdr:row>19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AFA667D-AFBA-689A-11D4-3E7011CBC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54</xdr:row>
      <xdr:rowOff>91440</xdr:rowOff>
    </xdr:from>
    <xdr:to>
      <xdr:col>11</xdr:col>
      <xdr:colOff>152400</xdr:colOff>
      <xdr:row>66</xdr:row>
      <xdr:rowOff>68580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9D79E9F-A02C-9703-F0B8-FE76ABD08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7A2A-8795-4A29-9BF9-78CB9032DDB4}">
  <dimension ref="A1:U31"/>
  <sheetViews>
    <sheetView topLeftCell="A7" workbookViewId="0">
      <selection activeCell="W11" sqref="W11"/>
    </sheetView>
  </sheetViews>
  <sheetFormatPr defaultRowHeight="13.8" x14ac:dyDescent="0.25"/>
  <cols>
    <col min="1" max="2" width="8.88671875" style="3"/>
    <col min="3" max="4" width="9.109375" style="3" bestFit="1" customWidth="1"/>
    <col min="5" max="5" width="8.88671875" style="3"/>
    <col min="6" max="7" width="9" style="3" bestFit="1" customWidth="1"/>
    <col min="8" max="9" width="8.88671875" style="3"/>
    <col min="10" max="11" width="9" style="3" bestFit="1" customWidth="1"/>
    <col min="12" max="14" width="8.88671875" style="3"/>
    <col min="15" max="16" width="9" style="3" bestFit="1" customWidth="1"/>
    <col min="17" max="19" width="8.88671875" style="3"/>
    <col min="20" max="21" width="10.88671875" style="3" bestFit="1" customWidth="1"/>
    <col min="22" max="16384" width="8.88671875" style="3"/>
  </cols>
  <sheetData>
    <row r="1" spans="1:21" ht="14.4" x14ac:dyDescent="0.25">
      <c r="A1" s="3" t="s">
        <v>1</v>
      </c>
      <c r="F1" s="3" t="s">
        <v>1</v>
      </c>
      <c r="I1" s="3" t="s">
        <v>1</v>
      </c>
      <c r="R1" s="1"/>
    </row>
    <row r="2" spans="1:21" ht="57.6" customHeight="1" x14ac:dyDescent="0.25">
      <c r="A2" s="3" t="s">
        <v>2</v>
      </c>
      <c r="B2" s="3" t="s">
        <v>3</v>
      </c>
      <c r="C2" s="1" t="s">
        <v>4</v>
      </c>
      <c r="D2" s="1" t="s">
        <v>0</v>
      </c>
      <c r="F2" s="1" t="s">
        <v>5</v>
      </c>
      <c r="G2" s="1" t="s">
        <v>6</v>
      </c>
      <c r="I2" s="3" t="s">
        <v>3</v>
      </c>
      <c r="J2" s="1" t="s">
        <v>5</v>
      </c>
      <c r="K2" s="1" t="s">
        <v>6</v>
      </c>
      <c r="N2" s="1"/>
      <c r="O2" s="3" t="s">
        <v>7</v>
      </c>
      <c r="P2" s="3" t="s">
        <v>8</v>
      </c>
      <c r="T2" s="3" t="s">
        <v>7</v>
      </c>
      <c r="U2" s="3" t="s">
        <v>8</v>
      </c>
    </row>
    <row r="3" spans="1:21" ht="15.6" x14ac:dyDescent="0.25">
      <c r="B3" s="3" t="s">
        <v>9</v>
      </c>
      <c r="C3" s="5">
        <v>730.5</v>
      </c>
      <c r="D3" s="6">
        <v>350.18</v>
      </c>
      <c r="E3" s="5"/>
      <c r="F3" s="5">
        <f>C3/$C$14</f>
        <v>0.14268051868909709</v>
      </c>
      <c r="G3" s="5">
        <f>D3/$D$14</f>
        <v>0.10217253030046625</v>
      </c>
      <c r="H3" s="5"/>
      <c r="I3" s="5" t="s">
        <v>9</v>
      </c>
      <c r="J3" s="5">
        <f>F3*100</f>
        <v>14.268051868909708</v>
      </c>
      <c r="K3" s="5">
        <f>G3*100</f>
        <v>10.217253030046624</v>
      </c>
      <c r="L3" s="5"/>
      <c r="M3" s="5"/>
      <c r="N3" s="5" t="s">
        <v>9</v>
      </c>
      <c r="O3" s="5">
        <f>J3-K3</f>
        <v>4.0507988388630842</v>
      </c>
      <c r="P3" s="5">
        <f>J18-K18</f>
        <v>0.26391643655219887</v>
      </c>
      <c r="R3" s="11" t="s">
        <v>10</v>
      </c>
      <c r="S3" s="3" t="s">
        <v>21</v>
      </c>
      <c r="T3" s="5">
        <f>O10</f>
        <v>2.8540158703654424</v>
      </c>
      <c r="U3" s="5">
        <f>P10</f>
        <v>0.40697303308697919</v>
      </c>
    </row>
    <row r="4" spans="1:21" ht="15.6" x14ac:dyDescent="0.25">
      <c r="B4" s="3" t="s">
        <v>12</v>
      </c>
      <c r="C4" s="5">
        <v>651.13</v>
      </c>
      <c r="D4" s="6">
        <v>319.51</v>
      </c>
      <c r="E4" s="5"/>
      <c r="F4" s="5">
        <f t="shared" ref="F4:F13" si="0">C4/$C$14</f>
        <v>0.12717805083371908</v>
      </c>
      <c r="G4" s="5">
        <f t="shared" ref="G4:G13" si="1">D4/$D$14</f>
        <v>9.3223899583933886E-2</v>
      </c>
      <c r="H4" s="5"/>
      <c r="I4" s="5" t="s">
        <v>12</v>
      </c>
      <c r="J4" s="5">
        <f t="shared" ref="J4:J13" si="2">F4*100</f>
        <v>12.717805083371909</v>
      </c>
      <c r="K4" s="5">
        <f t="shared" ref="K4:K13" si="3">G4*100</f>
        <v>9.3223899583933889</v>
      </c>
      <c r="L4" s="5"/>
      <c r="M4" s="5"/>
      <c r="N4" s="5" t="s">
        <v>12</v>
      </c>
      <c r="O4" s="5">
        <f t="shared" ref="O4:O13" si="4">J4-K4</f>
        <v>3.3954151249785198</v>
      </c>
      <c r="P4" s="5">
        <f t="shared" ref="P4:P13" si="5">J19-K19</f>
        <v>-0.5799416337293497</v>
      </c>
      <c r="R4" s="11"/>
      <c r="S4" s="3" t="s">
        <v>9</v>
      </c>
      <c r="T4" s="5">
        <f>O3</f>
        <v>4.0507988388630842</v>
      </c>
      <c r="U4" s="5">
        <f>P3</f>
        <v>0.26391643655219887</v>
      </c>
    </row>
    <row r="5" spans="1:21" ht="15.6" x14ac:dyDescent="0.25">
      <c r="B5" s="3" t="s">
        <v>11</v>
      </c>
      <c r="C5" s="5">
        <v>194.56</v>
      </c>
      <c r="D5" s="6">
        <v>132.38</v>
      </c>
      <c r="E5" s="5"/>
      <c r="F5" s="5">
        <f t="shared" si="0"/>
        <v>3.8001261760644396E-2</v>
      </c>
      <c r="G5" s="5">
        <f t="shared" si="1"/>
        <v>3.8624706040252789E-2</v>
      </c>
      <c r="H5" s="5"/>
      <c r="I5" s="5" t="s">
        <v>11</v>
      </c>
      <c r="J5" s="5">
        <f t="shared" si="2"/>
        <v>3.8001261760644396</v>
      </c>
      <c r="K5" s="5">
        <f t="shared" si="3"/>
        <v>3.8624706040252788</v>
      </c>
      <c r="L5" s="5"/>
      <c r="M5" s="5"/>
      <c r="N5" s="5" t="s">
        <v>11</v>
      </c>
      <c r="O5" s="5">
        <f t="shared" si="4"/>
        <v>-6.2344427960839166E-2</v>
      </c>
      <c r="P5" s="5">
        <f t="shared" si="5"/>
        <v>1.109570130882648</v>
      </c>
      <c r="R5" s="11"/>
      <c r="S5" s="3" t="s">
        <v>18</v>
      </c>
      <c r="T5" s="5">
        <f>O8</f>
        <v>3.2547801488643771</v>
      </c>
      <c r="U5" s="5">
        <f>P8</f>
        <v>3.8878612397881325</v>
      </c>
    </row>
    <row r="6" spans="1:21" ht="15.6" x14ac:dyDescent="0.25">
      <c r="B6" s="3" t="s">
        <v>14</v>
      </c>
      <c r="C6" s="5">
        <v>356.23</v>
      </c>
      <c r="D6" s="6">
        <v>329.91</v>
      </c>
      <c r="E6" s="5"/>
      <c r="F6" s="5">
        <f t="shared" si="0"/>
        <v>6.9578482098038422E-2</v>
      </c>
      <c r="G6" s="5">
        <f t="shared" si="1"/>
        <v>9.625832278093216E-2</v>
      </c>
      <c r="H6" s="5"/>
      <c r="I6" s="5" t="s">
        <v>14</v>
      </c>
      <c r="J6" s="5">
        <f t="shared" si="2"/>
        <v>6.9578482098038421</v>
      </c>
      <c r="K6" s="5">
        <f t="shared" si="3"/>
        <v>9.6258322780932168</v>
      </c>
      <c r="L6" s="5"/>
      <c r="M6" s="5"/>
      <c r="N6" s="5" t="s">
        <v>14</v>
      </c>
      <c r="O6" s="5">
        <f t="shared" si="4"/>
        <v>-2.6679840682893747</v>
      </c>
      <c r="P6" s="5">
        <f t="shared" si="5"/>
        <v>0.64600179046228057</v>
      </c>
      <c r="R6" s="11" t="s">
        <v>15</v>
      </c>
      <c r="S6" s="3" t="s">
        <v>19</v>
      </c>
      <c r="T6" s="5">
        <f>O12</f>
        <v>-0.13000642204690394</v>
      </c>
      <c r="U6" s="5">
        <f>P12</f>
        <v>-3.2821812363123275</v>
      </c>
    </row>
    <row r="7" spans="1:21" ht="15.6" x14ac:dyDescent="0.25">
      <c r="B7" s="3" t="s">
        <v>16</v>
      </c>
      <c r="C7" s="5">
        <v>440.13</v>
      </c>
      <c r="D7" s="6">
        <v>223.91</v>
      </c>
      <c r="E7" s="5"/>
      <c r="F7" s="5">
        <f t="shared" si="0"/>
        <v>8.5965744956375503E-2</v>
      </c>
      <c r="G7" s="5">
        <f t="shared" si="1"/>
        <v>6.5330547888449927E-2</v>
      </c>
      <c r="H7" s="5"/>
      <c r="I7" s="5" t="s">
        <v>16</v>
      </c>
      <c r="J7" s="5">
        <f t="shared" si="2"/>
        <v>8.5965744956375509</v>
      </c>
      <c r="K7" s="5">
        <f t="shared" si="3"/>
        <v>6.5330547888449928</v>
      </c>
      <c r="L7" s="5"/>
      <c r="M7" s="5"/>
      <c r="N7" s="5" t="s">
        <v>16</v>
      </c>
      <c r="O7" s="5">
        <f t="shared" si="4"/>
        <v>2.0635197067925581</v>
      </c>
      <c r="P7" s="5">
        <f t="shared" si="5"/>
        <v>-2.3639999020164622</v>
      </c>
      <c r="R7" s="11"/>
      <c r="S7" s="3" t="s">
        <v>13</v>
      </c>
      <c r="T7" s="5">
        <f>O9</f>
        <v>-4.7509669830765109</v>
      </c>
      <c r="U7" s="5">
        <f>P9</f>
        <v>-0.66271458116052884</v>
      </c>
    </row>
    <row r="8" spans="1:21" ht="15.6" x14ac:dyDescent="0.25">
      <c r="B8" s="3" t="s">
        <v>18</v>
      </c>
      <c r="C8" s="5">
        <v>397.3</v>
      </c>
      <c r="D8" s="6">
        <v>154.41</v>
      </c>
      <c r="E8" s="5"/>
      <c r="F8" s="5">
        <f t="shared" si="0"/>
        <v>7.7600232820230361E-2</v>
      </c>
      <c r="G8" s="5">
        <f t="shared" si="1"/>
        <v>4.5052431331586595E-2</v>
      </c>
      <c r="H8" s="5"/>
      <c r="I8" s="5" t="s">
        <v>18</v>
      </c>
      <c r="J8" s="5">
        <f t="shared" si="2"/>
        <v>7.7600232820230364</v>
      </c>
      <c r="K8" s="5">
        <f t="shared" si="3"/>
        <v>4.5052431331586593</v>
      </c>
      <c r="L8" s="5"/>
      <c r="M8" s="5"/>
      <c r="N8" s="5" t="s">
        <v>18</v>
      </c>
      <c r="O8" s="5">
        <f t="shared" si="4"/>
        <v>3.2547801488643771</v>
      </c>
      <c r="P8" s="5">
        <f t="shared" si="5"/>
        <v>3.8878612397881325</v>
      </c>
      <c r="R8" s="11"/>
      <c r="S8" s="3" t="s">
        <v>17</v>
      </c>
      <c r="T8" s="5">
        <f>O11</f>
        <v>-5.4864150613650899</v>
      </c>
      <c r="U8" s="5">
        <f>P11</f>
        <v>-1.5486560465882704E-2</v>
      </c>
    </row>
    <row r="9" spans="1:21" ht="15.6" x14ac:dyDescent="0.25">
      <c r="B9" s="3" t="s">
        <v>13</v>
      </c>
      <c r="C9" s="5">
        <v>517.86</v>
      </c>
      <c r="D9" s="6">
        <v>509.5</v>
      </c>
      <c r="E9" s="5"/>
      <c r="F9" s="5">
        <f t="shared" si="0"/>
        <v>0.10114788967602441</v>
      </c>
      <c r="G9" s="5">
        <f t="shared" si="1"/>
        <v>0.14865755950678952</v>
      </c>
      <c r="H9" s="5"/>
      <c r="I9" s="5" t="s">
        <v>13</v>
      </c>
      <c r="J9" s="5">
        <f t="shared" si="2"/>
        <v>10.114788967602442</v>
      </c>
      <c r="K9" s="5">
        <f t="shared" si="3"/>
        <v>14.865755950678953</v>
      </c>
      <c r="L9" s="5"/>
      <c r="M9" s="5"/>
      <c r="N9" s="5" t="s">
        <v>13</v>
      </c>
      <c r="O9" s="5">
        <f t="shared" si="4"/>
        <v>-4.7509669830765109</v>
      </c>
      <c r="P9" s="5">
        <f t="shared" si="5"/>
        <v>-0.66271458116052884</v>
      </c>
      <c r="R9" s="11" t="s">
        <v>20</v>
      </c>
      <c r="S9" s="3" t="s">
        <v>16</v>
      </c>
      <c r="T9" s="5">
        <f>O7</f>
        <v>2.0635197067925581</v>
      </c>
      <c r="U9" s="5">
        <f>P7</f>
        <v>-2.3639999020164622</v>
      </c>
    </row>
    <row r="10" spans="1:21" ht="15.6" x14ac:dyDescent="0.25">
      <c r="B10" s="3" t="s">
        <v>21</v>
      </c>
      <c r="C10" s="5">
        <v>686.57</v>
      </c>
      <c r="D10" s="6">
        <v>361.79</v>
      </c>
      <c r="E10" s="5"/>
      <c r="F10" s="5">
        <f t="shared" si="0"/>
        <v>0.13410015566923122</v>
      </c>
      <c r="G10" s="5">
        <f t="shared" si="1"/>
        <v>0.1055599969655768</v>
      </c>
      <c r="H10" s="5"/>
      <c r="I10" s="5" t="s">
        <v>21</v>
      </c>
      <c r="J10" s="5">
        <f t="shared" si="2"/>
        <v>13.410015566923123</v>
      </c>
      <c r="K10" s="5">
        <f t="shared" si="3"/>
        <v>10.555999696557681</v>
      </c>
      <c r="L10" s="5"/>
      <c r="M10" s="5"/>
      <c r="N10" s="5" t="s">
        <v>21</v>
      </c>
      <c r="O10" s="5">
        <f t="shared" si="4"/>
        <v>2.8540158703654424</v>
      </c>
      <c r="P10" s="5">
        <f t="shared" si="5"/>
        <v>0.40697303308697919</v>
      </c>
      <c r="R10" s="11"/>
      <c r="S10" s="3" t="s">
        <v>12</v>
      </c>
      <c r="T10" s="5">
        <f>O4</f>
        <v>3.3954151249785198</v>
      </c>
      <c r="U10" s="5">
        <f>P4</f>
        <v>-0.5799416337293497</v>
      </c>
    </row>
    <row r="11" spans="1:21" ht="15.6" x14ac:dyDescent="0.25">
      <c r="B11" s="3" t="s">
        <v>17</v>
      </c>
      <c r="C11" s="5">
        <v>188.03</v>
      </c>
      <c r="D11" s="6">
        <v>313.91000000000003</v>
      </c>
      <c r="E11" s="5"/>
      <c r="F11" s="5">
        <f t="shared" si="0"/>
        <v>3.6725828787283955E-2</v>
      </c>
      <c r="G11" s="5">
        <f t="shared" si="1"/>
        <v>9.1589979400934843E-2</v>
      </c>
      <c r="H11" s="5"/>
      <c r="I11" s="5" t="s">
        <v>17</v>
      </c>
      <c r="J11" s="5">
        <f t="shared" si="2"/>
        <v>3.6725828787283956</v>
      </c>
      <c r="K11" s="5">
        <f t="shared" si="3"/>
        <v>9.1589979400934851</v>
      </c>
      <c r="L11" s="5"/>
      <c r="M11" s="5"/>
      <c r="N11" s="5" t="s">
        <v>17</v>
      </c>
      <c r="O11" s="5">
        <f t="shared" si="4"/>
        <v>-5.4864150613650899</v>
      </c>
      <c r="P11" s="5">
        <f t="shared" si="5"/>
        <v>-1.5486560465882704E-2</v>
      </c>
      <c r="R11" s="11" t="s">
        <v>22</v>
      </c>
      <c r="S11" s="3" t="s">
        <v>11</v>
      </c>
      <c r="T11" s="5">
        <f>O5</f>
        <v>-6.2344427960839166E-2</v>
      </c>
      <c r="U11" s="5">
        <f>P5</f>
        <v>1.109570130882648</v>
      </c>
    </row>
    <row r="12" spans="1:21" ht="15.6" x14ac:dyDescent="0.25">
      <c r="B12" s="3" t="s">
        <v>19</v>
      </c>
      <c r="C12" s="5">
        <v>623.99</v>
      </c>
      <c r="D12" s="6">
        <v>422.17</v>
      </c>
      <c r="E12" s="5"/>
      <c r="F12" s="5">
        <f t="shared" si="0"/>
        <v>0.12187709357537262</v>
      </c>
      <c r="G12" s="5">
        <f t="shared" si="1"/>
        <v>0.12317715779584167</v>
      </c>
      <c r="H12" s="5"/>
      <c r="I12" s="5" t="s">
        <v>19</v>
      </c>
      <c r="J12" s="5">
        <f t="shared" si="2"/>
        <v>12.187709357537262</v>
      </c>
      <c r="K12" s="5">
        <f t="shared" si="3"/>
        <v>12.317715779584166</v>
      </c>
      <c r="L12" s="5"/>
      <c r="M12" s="5"/>
      <c r="N12" s="5" t="s">
        <v>19</v>
      </c>
      <c r="O12" s="5">
        <f t="shared" si="4"/>
        <v>-0.13000642204690394</v>
      </c>
      <c r="P12" s="5">
        <f t="shared" si="5"/>
        <v>-3.2821812363123275</v>
      </c>
      <c r="R12" s="11"/>
      <c r="S12" s="3" t="s">
        <v>23</v>
      </c>
      <c r="T12" s="5">
        <f>O13</f>
        <v>-2.5208127271252581</v>
      </c>
      <c r="U12" s="5">
        <f>P13</f>
        <v>0.59000128291229181</v>
      </c>
    </row>
    <row r="13" spans="1:21" ht="15.6" x14ac:dyDescent="0.25">
      <c r="B13" s="3" t="s">
        <v>23</v>
      </c>
      <c r="C13" s="5">
        <v>333.53</v>
      </c>
      <c r="D13" s="6">
        <v>309.67</v>
      </c>
      <c r="E13" s="5"/>
      <c r="F13" s="5">
        <f t="shared" si="0"/>
        <v>6.5144741133982956E-2</v>
      </c>
      <c r="G13" s="5">
        <f t="shared" si="1"/>
        <v>9.0352868405235542E-2</v>
      </c>
      <c r="H13" s="5"/>
      <c r="I13" s="5" t="s">
        <v>23</v>
      </c>
      <c r="J13" s="5">
        <f t="shared" si="2"/>
        <v>6.514474113398296</v>
      </c>
      <c r="K13" s="5">
        <f t="shared" si="3"/>
        <v>9.035286840523554</v>
      </c>
      <c r="L13" s="5"/>
      <c r="M13" s="5"/>
      <c r="N13" s="5" t="s">
        <v>23</v>
      </c>
      <c r="O13" s="5">
        <f t="shared" si="4"/>
        <v>-2.5208127271252581</v>
      </c>
      <c r="P13" s="5">
        <f t="shared" si="5"/>
        <v>0.59000128291229181</v>
      </c>
      <c r="R13" s="11"/>
      <c r="S13" s="3" t="s">
        <v>14</v>
      </c>
      <c r="T13" s="5">
        <f>O6</f>
        <v>-2.6679840682893747</v>
      </c>
      <c r="U13" s="5">
        <f>P6</f>
        <v>0.64600179046228057</v>
      </c>
    </row>
    <row r="14" spans="1:21" x14ac:dyDescent="0.25">
      <c r="B14" s="3" t="s">
        <v>63</v>
      </c>
      <c r="C14" s="5">
        <f>SUM(C3:C13)</f>
        <v>5119.83</v>
      </c>
      <c r="D14" s="5">
        <f>SUM(D3:D13)</f>
        <v>3427.34</v>
      </c>
      <c r="E14" s="5"/>
      <c r="F14" s="5">
        <f>SUM(F3:F13)</f>
        <v>0.99999999999999989</v>
      </c>
      <c r="G14" s="5">
        <f t="shared" ref="G14" si="6">SUM(G3:G13)</f>
        <v>1</v>
      </c>
      <c r="H14" s="5"/>
      <c r="I14" s="5"/>
      <c r="J14" s="5">
        <f>SUM(J3:J13)</f>
        <v>99.999999999999986</v>
      </c>
      <c r="K14" s="5">
        <f t="shared" ref="K14" si="7">SUM(K3:K13)</f>
        <v>100</v>
      </c>
      <c r="L14" s="5"/>
      <c r="M14" s="5"/>
      <c r="N14" s="5"/>
      <c r="O14" s="5"/>
      <c r="P14" s="5"/>
    </row>
    <row r="16" spans="1:21" ht="14.4" x14ac:dyDescent="0.25">
      <c r="A16" s="3" t="s">
        <v>24</v>
      </c>
      <c r="F16" s="3" t="s">
        <v>24</v>
      </c>
      <c r="I16" s="3" t="s">
        <v>24</v>
      </c>
    </row>
    <row r="17" spans="1:21" ht="57.6" customHeight="1" x14ac:dyDescent="0.25">
      <c r="A17" s="3" t="s">
        <v>2</v>
      </c>
      <c r="B17" s="3" t="s">
        <v>3</v>
      </c>
      <c r="C17" s="1" t="s">
        <v>4</v>
      </c>
      <c r="D17" s="1" t="s">
        <v>0</v>
      </c>
      <c r="F17" s="1" t="s">
        <v>5</v>
      </c>
      <c r="G17" s="1" t="s">
        <v>6</v>
      </c>
      <c r="I17" s="3" t="s">
        <v>3</v>
      </c>
      <c r="J17" s="1" t="s">
        <v>5</v>
      </c>
      <c r="K17" s="1" t="s">
        <v>6</v>
      </c>
      <c r="N17" s="1"/>
      <c r="S17" s="1"/>
    </row>
    <row r="18" spans="1:21" ht="15.6" customHeight="1" x14ac:dyDescent="0.25">
      <c r="B18" s="3" t="s">
        <v>9</v>
      </c>
      <c r="C18" s="5">
        <v>1139.1600000000001</v>
      </c>
      <c r="D18" s="6">
        <v>437.97</v>
      </c>
      <c r="E18" s="5"/>
      <c r="F18" s="5">
        <f>C18/$C$29</f>
        <v>0.12093430123804892</v>
      </c>
      <c r="G18" s="5">
        <f>D18/$D$29</f>
        <v>0.11829513687252692</v>
      </c>
      <c r="H18" s="5"/>
      <c r="I18" s="5" t="s">
        <v>9</v>
      </c>
      <c r="J18" s="5">
        <f>F18*100</f>
        <v>12.093430123804891</v>
      </c>
      <c r="K18" s="5">
        <f>G18*100</f>
        <v>11.829513687252692</v>
      </c>
      <c r="L18" s="5"/>
      <c r="M18" s="5"/>
      <c r="N18" s="5"/>
      <c r="O18" s="5"/>
      <c r="P18" s="5"/>
      <c r="R18" s="2"/>
      <c r="T18" s="5"/>
      <c r="U18" s="5"/>
    </row>
    <row r="19" spans="1:21" ht="15.6" customHeight="1" x14ac:dyDescent="0.25">
      <c r="B19" s="3" t="s">
        <v>12</v>
      </c>
      <c r="C19" s="5">
        <v>821.2</v>
      </c>
      <c r="D19" s="6">
        <v>344.24</v>
      </c>
      <c r="E19" s="5"/>
      <c r="F19" s="5">
        <f t="shared" ref="F19:F28" si="8">C19/$C$29</f>
        <v>8.7179367408165467E-2</v>
      </c>
      <c r="G19" s="5">
        <f t="shared" ref="G19:G28" si="9">D19/$D$29</f>
        <v>9.2978783745458968E-2</v>
      </c>
      <c r="H19" s="5"/>
      <c r="I19" s="5" t="s">
        <v>12</v>
      </c>
      <c r="J19" s="5">
        <f t="shared" ref="J19:J28" si="10">F19*100</f>
        <v>8.7179367408165476</v>
      </c>
      <c r="K19" s="5">
        <f t="shared" ref="K19:K28" si="11">G19*100</f>
        <v>9.2978783745458973</v>
      </c>
      <c r="L19" s="5"/>
      <c r="M19" s="5"/>
      <c r="N19" s="5"/>
      <c r="O19" s="5"/>
      <c r="P19" s="5"/>
      <c r="R19" s="2"/>
      <c r="T19" s="5"/>
      <c r="U19" s="5"/>
    </row>
    <row r="20" spans="1:21" ht="15.6" customHeight="1" x14ac:dyDescent="0.25">
      <c r="B20" s="3" t="s">
        <v>11</v>
      </c>
      <c r="C20" s="5">
        <v>462.95</v>
      </c>
      <c r="D20" s="6">
        <v>140.88</v>
      </c>
      <c r="E20" s="5"/>
      <c r="F20" s="5">
        <f t="shared" si="8"/>
        <v>4.914720913493692E-2</v>
      </c>
      <c r="G20" s="5">
        <f t="shared" si="9"/>
        <v>3.8051507826110442E-2</v>
      </c>
      <c r="H20" s="5"/>
      <c r="I20" s="5" t="s">
        <v>11</v>
      </c>
      <c r="J20" s="5">
        <f t="shared" si="10"/>
        <v>4.9147209134936922</v>
      </c>
      <c r="K20" s="5">
        <f t="shared" si="11"/>
        <v>3.8051507826110442</v>
      </c>
      <c r="L20" s="5"/>
      <c r="M20" s="5"/>
      <c r="N20" s="5"/>
      <c r="O20" s="5"/>
      <c r="P20" s="5"/>
      <c r="R20" s="11"/>
      <c r="T20" s="5"/>
      <c r="U20" s="5"/>
    </row>
    <row r="21" spans="1:21" ht="15.6" customHeight="1" x14ac:dyDescent="0.25">
      <c r="B21" s="3" t="s">
        <v>14</v>
      </c>
      <c r="C21" s="5">
        <v>939.86</v>
      </c>
      <c r="D21" s="6">
        <v>345.49</v>
      </c>
      <c r="E21" s="5"/>
      <c r="F21" s="5">
        <f t="shared" si="8"/>
        <v>9.9776425051434955E-2</v>
      </c>
      <c r="G21" s="5">
        <f t="shared" si="9"/>
        <v>9.3316407146812164E-2</v>
      </c>
      <c r="H21" s="5"/>
      <c r="I21" s="5" t="s">
        <v>14</v>
      </c>
      <c r="J21" s="5">
        <f t="shared" si="10"/>
        <v>9.9776425051434963</v>
      </c>
      <c r="K21" s="5">
        <f t="shared" si="11"/>
        <v>9.3316407146812157</v>
      </c>
      <c r="L21" s="5"/>
      <c r="M21" s="5"/>
      <c r="N21" s="5"/>
      <c r="O21" s="5"/>
      <c r="P21" s="5"/>
      <c r="R21" s="11"/>
      <c r="T21" s="5"/>
      <c r="U21" s="5"/>
    </row>
    <row r="22" spans="1:21" ht="15.6" customHeight="1" x14ac:dyDescent="0.25">
      <c r="B22" s="3" t="s">
        <v>16</v>
      </c>
      <c r="C22" s="5">
        <v>370.89</v>
      </c>
      <c r="D22" s="6">
        <v>233.3</v>
      </c>
      <c r="E22" s="5"/>
      <c r="F22" s="5">
        <f t="shared" si="8"/>
        <v>3.9374032608395622E-2</v>
      </c>
      <c r="G22" s="5">
        <f t="shared" si="9"/>
        <v>6.3014031628560244E-2</v>
      </c>
      <c r="H22" s="5"/>
      <c r="I22" s="5" t="s">
        <v>16</v>
      </c>
      <c r="J22" s="5">
        <f t="shared" si="10"/>
        <v>3.9374032608395622</v>
      </c>
      <c r="K22" s="5">
        <f t="shared" si="11"/>
        <v>6.3014031628560243</v>
      </c>
      <c r="L22" s="5"/>
      <c r="M22" s="5"/>
      <c r="N22" s="5"/>
      <c r="O22" s="5"/>
      <c r="P22" s="5"/>
      <c r="R22" s="11"/>
      <c r="T22" s="5"/>
      <c r="U22" s="5"/>
    </row>
    <row r="23" spans="1:21" ht="15.6" customHeight="1" x14ac:dyDescent="0.25">
      <c r="B23" s="3" t="s">
        <v>18</v>
      </c>
      <c r="C23" s="5">
        <v>818.08</v>
      </c>
      <c r="D23" s="6">
        <v>177.6</v>
      </c>
      <c r="E23" s="5"/>
      <c r="F23" s="5">
        <f t="shared" si="8"/>
        <v>8.6848145262143212E-2</v>
      </c>
      <c r="G23" s="5">
        <f t="shared" si="9"/>
        <v>4.7969532864261887E-2</v>
      </c>
      <c r="H23" s="5"/>
      <c r="I23" s="5" t="s">
        <v>18</v>
      </c>
      <c r="J23" s="5">
        <f t="shared" si="10"/>
        <v>8.6848145262143213</v>
      </c>
      <c r="K23" s="5">
        <f t="shared" si="11"/>
        <v>4.7969532864261888</v>
      </c>
      <c r="L23" s="5"/>
      <c r="M23" s="5"/>
      <c r="N23" s="5"/>
      <c r="O23" s="5"/>
      <c r="P23" s="5"/>
      <c r="R23" s="11"/>
      <c r="T23" s="5"/>
      <c r="U23" s="5"/>
    </row>
    <row r="24" spans="1:21" ht="15.6" customHeight="1" x14ac:dyDescent="0.25">
      <c r="B24" s="3" t="s">
        <v>13</v>
      </c>
      <c r="C24" s="5">
        <v>1295.18</v>
      </c>
      <c r="D24" s="6">
        <v>533.6</v>
      </c>
      <c r="E24" s="5"/>
      <c r="F24" s="5">
        <f t="shared" si="8"/>
        <v>0.13749753175804644</v>
      </c>
      <c r="G24" s="5">
        <f t="shared" si="9"/>
        <v>0.14412467756965172</v>
      </c>
      <c r="H24" s="5"/>
      <c r="I24" s="5" t="s">
        <v>13</v>
      </c>
      <c r="J24" s="5">
        <f t="shared" si="10"/>
        <v>13.749753175804644</v>
      </c>
      <c r="K24" s="5">
        <f t="shared" si="11"/>
        <v>14.412467756965173</v>
      </c>
      <c r="L24" s="5"/>
      <c r="M24" s="5"/>
      <c r="N24" s="5"/>
      <c r="O24" s="5"/>
      <c r="P24" s="5"/>
      <c r="R24" s="11"/>
      <c r="T24" s="5"/>
      <c r="U24" s="5"/>
    </row>
    <row r="25" spans="1:21" ht="15.6" customHeight="1" x14ac:dyDescent="0.25">
      <c r="B25" s="3" t="s">
        <v>21</v>
      </c>
      <c r="C25" s="5">
        <v>1025.22</v>
      </c>
      <c r="D25" s="6">
        <v>387.89</v>
      </c>
      <c r="E25" s="5"/>
      <c r="F25" s="5">
        <f t="shared" si="8"/>
        <v>0.10883832325158231</v>
      </c>
      <c r="G25" s="5">
        <f t="shared" si="9"/>
        <v>0.10476859292071251</v>
      </c>
      <c r="H25" s="5"/>
      <c r="I25" s="5" t="s">
        <v>21</v>
      </c>
      <c r="J25" s="5">
        <f t="shared" si="10"/>
        <v>10.883832325158231</v>
      </c>
      <c r="K25" s="5">
        <f t="shared" si="11"/>
        <v>10.476859292071252</v>
      </c>
      <c r="L25" s="5"/>
      <c r="M25" s="5"/>
      <c r="N25" s="5"/>
      <c r="O25" s="5"/>
      <c r="P25" s="5"/>
      <c r="R25" s="11"/>
      <c r="T25" s="5"/>
      <c r="U25" s="5"/>
    </row>
    <row r="26" spans="1:21" ht="15.6" customHeight="1" x14ac:dyDescent="0.25">
      <c r="B26" s="3" t="s">
        <v>17</v>
      </c>
      <c r="C26" s="5">
        <v>854.83</v>
      </c>
      <c r="D26" s="6">
        <v>336.56</v>
      </c>
      <c r="E26" s="5"/>
      <c r="F26" s="5">
        <f t="shared" si="8"/>
        <v>9.0749559962886125E-2</v>
      </c>
      <c r="G26" s="5">
        <f t="shared" si="9"/>
        <v>9.0904425567544939E-2</v>
      </c>
      <c r="H26" s="5"/>
      <c r="I26" s="5" t="s">
        <v>17</v>
      </c>
      <c r="J26" s="5">
        <f t="shared" si="10"/>
        <v>9.0749559962886117</v>
      </c>
      <c r="K26" s="5">
        <f t="shared" si="11"/>
        <v>9.0904425567544944</v>
      </c>
      <c r="L26" s="5"/>
      <c r="M26" s="5"/>
      <c r="N26" s="5"/>
      <c r="O26" s="5"/>
      <c r="P26" s="5"/>
      <c r="R26" s="11"/>
      <c r="T26" s="5"/>
      <c r="U26" s="5"/>
    </row>
    <row r="27" spans="1:21" ht="15.6" customHeight="1" x14ac:dyDescent="0.25">
      <c r="B27" s="3" t="s">
        <v>19</v>
      </c>
      <c r="C27" s="5">
        <v>831.03</v>
      </c>
      <c r="D27" s="6">
        <v>448.15</v>
      </c>
      <c r="E27" s="5"/>
      <c r="F27" s="5">
        <f t="shared" si="8"/>
        <v>8.8222929490024041E-2</v>
      </c>
      <c r="G27" s="5">
        <f t="shared" si="9"/>
        <v>0.12104474185314733</v>
      </c>
      <c r="H27" s="5"/>
      <c r="I27" s="5" t="s">
        <v>19</v>
      </c>
      <c r="J27" s="5">
        <f t="shared" si="10"/>
        <v>8.8222929490024047</v>
      </c>
      <c r="K27" s="5">
        <f t="shared" si="11"/>
        <v>12.104474185314732</v>
      </c>
      <c r="L27" s="5"/>
      <c r="M27" s="5"/>
      <c r="N27" s="5"/>
      <c r="O27" s="5"/>
      <c r="P27" s="5"/>
      <c r="R27" s="11"/>
      <c r="T27" s="5"/>
      <c r="U27" s="5"/>
    </row>
    <row r="28" spans="1:21" ht="15.6" customHeight="1" x14ac:dyDescent="0.25">
      <c r="B28" s="3" t="s">
        <v>23</v>
      </c>
      <c r="C28" s="5">
        <v>861.26</v>
      </c>
      <c r="D28" s="6">
        <v>316.67</v>
      </c>
      <c r="E28" s="5"/>
      <c r="F28" s="5">
        <f t="shared" si="8"/>
        <v>9.1432174834335828E-2</v>
      </c>
      <c r="G28" s="5">
        <f t="shared" si="9"/>
        <v>8.5532162005212908E-2</v>
      </c>
      <c r="H28" s="5"/>
      <c r="I28" s="5" t="s">
        <v>23</v>
      </c>
      <c r="J28" s="5">
        <f t="shared" si="10"/>
        <v>9.1432174834335829</v>
      </c>
      <c r="K28" s="5">
        <f t="shared" si="11"/>
        <v>8.5532162005212911</v>
      </c>
      <c r="L28" s="5"/>
      <c r="M28" s="5"/>
      <c r="N28" s="5"/>
      <c r="O28" s="5"/>
      <c r="P28" s="5"/>
      <c r="R28" s="11"/>
      <c r="T28" s="5"/>
      <c r="U28" s="5"/>
    </row>
    <row r="29" spans="1:21" x14ac:dyDescent="0.25">
      <c r="B29" s="3" t="s">
        <v>63</v>
      </c>
      <c r="C29" s="5">
        <f>SUM(C18:C28)</f>
        <v>9419.6600000000017</v>
      </c>
      <c r="D29" s="5">
        <f>SUM(D18:D28)</f>
        <v>3702.35</v>
      </c>
      <c r="E29" s="5"/>
      <c r="F29" s="5">
        <f>SUM(F18:F28)</f>
        <v>0.99999999999999989</v>
      </c>
      <c r="G29" s="5">
        <f t="shared" ref="G29" si="12">SUM(G18:G28)</f>
        <v>1</v>
      </c>
      <c r="H29" s="5"/>
      <c r="I29" s="5"/>
      <c r="J29" s="5">
        <f>SUM(J18:J28)</f>
        <v>99.999999999999986</v>
      </c>
      <c r="K29" s="5">
        <f t="shared" ref="K29" si="13">SUM(K18:K28)</f>
        <v>100</v>
      </c>
      <c r="L29" s="5"/>
      <c r="M29" s="5"/>
      <c r="N29" s="5"/>
      <c r="O29" s="5"/>
      <c r="P29" s="5"/>
    </row>
    <row r="31" spans="1:21" x14ac:dyDescent="0.25">
      <c r="B31" s="1"/>
    </row>
  </sheetData>
  <mergeCells count="6">
    <mergeCell ref="R20:R24"/>
    <mergeCell ref="R25:R28"/>
    <mergeCell ref="R3:R5"/>
    <mergeCell ref="R6:R8"/>
    <mergeCell ref="R9:R10"/>
    <mergeCell ref="R11:R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D83-B83C-4B8F-A95B-02DAC6DD62BE}">
  <dimension ref="A1:U28"/>
  <sheetViews>
    <sheetView workbookViewId="0">
      <selection activeCell="T4" sqref="T4"/>
    </sheetView>
  </sheetViews>
  <sheetFormatPr defaultRowHeight="13.8" x14ac:dyDescent="0.25"/>
  <cols>
    <col min="1" max="1" width="8.88671875" style="4"/>
    <col min="2" max="2" width="10.21875" style="4" bestFit="1" customWidth="1"/>
    <col min="3" max="3" width="10.109375" style="4" bestFit="1" customWidth="1"/>
    <col min="4" max="4" width="8.88671875" style="3"/>
    <col min="5" max="5" width="8.88671875" style="4"/>
    <col min="6" max="7" width="10.44140625" style="3" bestFit="1" customWidth="1"/>
    <col min="8" max="9" width="8.88671875" style="3"/>
    <col min="10" max="11" width="9.21875" style="3" bestFit="1" customWidth="1"/>
    <col min="12" max="14" width="8.88671875" style="3"/>
    <col min="15" max="16" width="9.21875" style="3" bestFit="1" customWidth="1"/>
    <col min="17" max="19" width="8.88671875" style="3"/>
    <col min="20" max="21" width="9.21875" style="3" bestFit="1" customWidth="1"/>
    <col min="22" max="16384" width="8.88671875" style="3"/>
  </cols>
  <sheetData>
    <row r="1" spans="1:21" ht="14.4" x14ac:dyDescent="0.25">
      <c r="A1" s="3" t="s">
        <v>1</v>
      </c>
      <c r="E1" s="3" t="s">
        <v>1</v>
      </c>
      <c r="I1" s="3" t="s">
        <v>1</v>
      </c>
      <c r="R1" s="1"/>
    </row>
    <row r="2" spans="1:21" ht="57.6" x14ac:dyDescent="0.25">
      <c r="A2" s="3" t="s">
        <v>25</v>
      </c>
      <c r="B2" s="1" t="s">
        <v>4</v>
      </c>
      <c r="C2" s="1" t="s">
        <v>0</v>
      </c>
      <c r="E2" s="3" t="s">
        <v>25</v>
      </c>
      <c r="F2" s="1" t="s">
        <v>64</v>
      </c>
      <c r="G2" s="1" t="s">
        <v>65</v>
      </c>
      <c r="I2" s="3" t="s">
        <v>25</v>
      </c>
      <c r="J2" s="1" t="s">
        <v>64</v>
      </c>
      <c r="K2" s="1" t="s">
        <v>65</v>
      </c>
      <c r="N2" s="1"/>
      <c r="O2" s="3" t="s">
        <v>7</v>
      </c>
      <c r="P2" s="3" t="s">
        <v>8</v>
      </c>
      <c r="T2" s="3" t="s">
        <v>7</v>
      </c>
      <c r="U2" s="3" t="s">
        <v>8</v>
      </c>
    </row>
    <row r="3" spans="1:21" ht="14.4" customHeight="1" x14ac:dyDescent="0.25">
      <c r="A3" s="1" t="s">
        <v>36</v>
      </c>
      <c r="B3" s="5">
        <v>5119.82</v>
      </c>
      <c r="C3" s="5">
        <v>3427</v>
      </c>
      <c r="D3" s="5"/>
      <c r="E3" s="8" t="s">
        <v>57</v>
      </c>
      <c r="F3" s="5">
        <f>B3/$B$9</f>
        <v>7.786646891132766E-2</v>
      </c>
      <c r="G3" s="5">
        <f>C3/$C$9</f>
        <v>9.6255933488750944E-2</v>
      </c>
      <c r="H3" s="5"/>
      <c r="I3" s="8" t="s">
        <v>57</v>
      </c>
      <c r="J3" s="5">
        <f>F3*100</f>
        <v>7.786646891132766</v>
      </c>
      <c r="K3" s="5">
        <f>G3*100</f>
        <v>9.6255933488750944</v>
      </c>
      <c r="L3" s="5"/>
      <c r="M3" s="5"/>
      <c r="N3" s="8" t="s">
        <v>57</v>
      </c>
      <c r="O3" s="5">
        <f>J3-K3</f>
        <v>-1.8389464577423285</v>
      </c>
      <c r="P3" s="5">
        <f>J13-K13</f>
        <v>-5.5154150144305598</v>
      </c>
      <c r="Q3" s="5"/>
      <c r="R3" s="12" t="s">
        <v>15</v>
      </c>
      <c r="S3" s="8" t="s">
        <v>57</v>
      </c>
      <c r="T3" s="5">
        <f>O3</f>
        <v>-1.8389464577423285</v>
      </c>
      <c r="U3" s="5">
        <f>P3</f>
        <v>-5.5154150144305598</v>
      </c>
    </row>
    <row r="4" spans="1:21" ht="14.4" x14ac:dyDescent="0.25">
      <c r="A4" s="1" t="s">
        <v>37</v>
      </c>
      <c r="B4" s="5">
        <v>14073.86</v>
      </c>
      <c r="C4" s="5">
        <v>6131</v>
      </c>
      <c r="D4" s="5"/>
      <c r="E4" s="8" t="s">
        <v>58</v>
      </c>
      <c r="F4" s="5">
        <f t="shared" ref="F4:F8" si="0">B4/$B$9</f>
        <v>0.21404693566421826</v>
      </c>
      <c r="G4" s="5">
        <f t="shared" ref="G4:G8" si="1">C4/$C$9</f>
        <v>0.17220458950088477</v>
      </c>
      <c r="H4" s="5"/>
      <c r="I4" s="8" t="s">
        <v>58</v>
      </c>
      <c r="J4" s="5">
        <f t="shared" ref="J4:J8" si="2">F4*100</f>
        <v>21.404693566421827</v>
      </c>
      <c r="K4" s="5">
        <f t="shared" ref="K4:K8" si="3">G4*100</f>
        <v>17.220458950088478</v>
      </c>
      <c r="L4" s="5"/>
      <c r="M4" s="5"/>
      <c r="N4" s="8" t="s">
        <v>58</v>
      </c>
      <c r="O4" s="5">
        <f t="shared" ref="O4:O8" si="4">J4-K4</f>
        <v>4.1842346163333488</v>
      </c>
      <c r="P4" s="5">
        <f t="shared" ref="P4:P8" si="5">J14-K14</f>
        <v>-2.9922992437188096</v>
      </c>
      <c r="Q4" s="5"/>
      <c r="R4" s="12"/>
      <c r="S4" s="8" t="s">
        <v>60</v>
      </c>
      <c r="T4" s="5">
        <f>O6</f>
        <v>-5.0615758276772844</v>
      </c>
      <c r="U4" s="5">
        <f>P6</f>
        <v>-2.4461611913016235</v>
      </c>
    </row>
    <row r="5" spans="1:21" ht="14.4" customHeight="1" x14ac:dyDescent="0.25">
      <c r="A5" s="1" t="s">
        <v>38</v>
      </c>
      <c r="B5" s="5">
        <v>16128.62</v>
      </c>
      <c r="C5" s="5">
        <v>4432</v>
      </c>
      <c r="D5" s="5"/>
      <c r="E5" s="8" t="s">
        <v>59</v>
      </c>
      <c r="F5" s="5">
        <f t="shared" si="0"/>
        <v>0.2452974299511736</v>
      </c>
      <c r="G5" s="5">
        <f t="shared" si="1"/>
        <v>0.12448389180687021</v>
      </c>
      <c r="H5" s="5"/>
      <c r="I5" s="8" t="s">
        <v>59</v>
      </c>
      <c r="J5" s="5">
        <f t="shared" si="2"/>
        <v>24.52974299511736</v>
      </c>
      <c r="K5" s="5">
        <f t="shared" si="3"/>
        <v>12.448389180687021</v>
      </c>
      <c r="L5" s="5"/>
      <c r="M5" s="5"/>
      <c r="N5" s="8" t="s">
        <v>59</v>
      </c>
      <c r="O5" s="5">
        <f t="shared" si="4"/>
        <v>12.081353814430338</v>
      </c>
      <c r="P5" s="5">
        <f t="shared" si="5"/>
        <v>-1.8981605053019983</v>
      </c>
      <c r="Q5" s="5"/>
      <c r="R5" s="12"/>
      <c r="S5" s="8" t="s">
        <v>62</v>
      </c>
      <c r="T5" s="5">
        <f>O8</f>
        <v>-7.4397784382067087</v>
      </c>
      <c r="U5" s="5">
        <f>P8</f>
        <v>-8.4246754013623395</v>
      </c>
    </row>
    <row r="6" spans="1:21" ht="14.4" customHeight="1" x14ac:dyDescent="0.25">
      <c r="A6" s="1" t="s">
        <v>39</v>
      </c>
      <c r="B6" s="5">
        <v>14192.45</v>
      </c>
      <c r="C6" s="5">
        <v>9487</v>
      </c>
      <c r="D6" s="5"/>
      <c r="E6" s="8" t="s">
        <v>60</v>
      </c>
      <c r="F6" s="5">
        <f t="shared" si="0"/>
        <v>0.21585055074213005</v>
      </c>
      <c r="G6" s="5">
        <f t="shared" si="1"/>
        <v>0.26646630901890289</v>
      </c>
      <c r="H6" s="5"/>
      <c r="I6" s="8" t="s">
        <v>60</v>
      </c>
      <c r="J6" s="5">
        <f t="shared" si="2"/>
        <v>21.585055074213006</v>
      </c>
      <c r="K6" s="5">
        <f t="shared" si="3"/>
        <v>26.64663090189029</v>
      </c>
      <c r="L6" s="5"/>
      <c r="M6" s="5"/>
      <c r="N6" s="8" t="s">
        <v>60</v>
      </c>
      <c r="O6" s="5">
        <f t="shared" si="4"/>
        <v>-5.0615758276772844</v>
      </c>
      <c r="P6" s="5">
        <f t="shared" si="5"/>
        <v>-2.4461611913016235</v>
      </c>
      <c r="Q6" s="5"/>
      <c r="R6" s="12" t="s">
        <v>20</v>
      </c>
      <c r="S6" s="8" t="s">
        <v>58</v>
      </c>
      <c r="T6" s="5">
        <f>O4</f>
        <v>4.1842346163333488</v>
      </c>
      <c r="U6" s="5">
        <f>P4</f>
        <v>-2.9922992437188096</v>
      </c>
    </row>
    <row r="7" spans="1:21" ht="14.4" customHeight="1" x14ac:dyDescent="0.25">
      <c r="A7" s="1" t="s">
        <v>40</v>
      </c>
      <c r="B7" s="5">
        <v>9297.74</v>
      </c>
      <c r="C7" s="5">
        <v>5720</v>
      </c>
      <c r="D7" s="5"/>
      <c r="E7" s="8" t="s">
        <v>61</v>
      </c>
      <c r="F7" s="5">
        <f t="shared" si="0"/>
        <v>0.14140774141583251</v>
      </c>
      <c r="G7" s="5">
        <f t="shared" si="1"/>
        <v>0.16066061848720614</v>
      </c>
      <c r="H7" s="5"/>
      <c r="I7" s="8" t="s">
        <v>61</v>
      </c>
      <c r="J7" s="5">
        <f t="shared" si="2"/>
        <v>14.14077414158325</v>
      </c>
      <c r="K7" s="5">
        <f t="shared" si="3"/>
        <v>16.066061848720615</v>
      </c>
      <c r="L7" s="5"/>
      <c r="M7" s="5"/>
      <c r="N7" s="8" t="s">
        <v>61</v>
      </c>
      <c r="O7" s="5">
        <f t="shared" si="4"/>
        <v>-1.9252877071373646</v>
      </c>
      <c r="P7" s="5">
        <f t="shared" si="5"/>
        <v>21.276711356115324</v>
      </c>
      <c r="Q7" s="5"/>
      <c r="R7" s="12"/>
      <c r="S7" s="8" t="s">
        <v>59</v>
      </c>
      <c r="T7" s="5">
        <f>O5</f>
        <v>12.081353814430338</v>
      </c>
      <c r="U7" s="5">
        <f>P5</f>
        <v>-1.8981605053019983</v>
      </c>
    </row>
    <row r="8" spans="1:21" ht="28.8" x14ac:dyDescent="0.25">
      <c r="A8" s="1" t="s">
        <v>41</v>
      </c>
      <c r="B8" s="5">
        <v>6938.79</v>
      </c>
      <c r="C8" s="5">
        <v>6406</v>
      </c>
      <c r="D8" s="5"/>
      <c r="E8" s="8" t="s">
        <v>62</v>
      </c>
      <c r="F8" s="5">
        <f t="shared" si="0"/>
        <v>0.10553087331531796</v>
      </c>
      <c r="G8" s="5">
        <f t="shared" si="1"/>
        <v>0.17992865769738506</v>
      </c>
      <c r="H8" s="5"/>
      <c r="I8" s="8" t="s">
        <v>62</v>
      </c>
      <c r="J8" s="5">
        <f t="shared" si="2"/>
        <v>10.553087331531795</v>
      </c>
      <c r="K8" s="5">
        <f t="shared" si="3"/>
        <v>17.992865769738504</v>
      </c>
      <c r="L8" s="5"/>
      <c r="M8" s="5"/>
      <c r="N8" s="8" t="s">
        <v>62</v>
      </c>
      <c r="O8" s="5">
        <f t="shared" si="4"/>
        <v>-7.4397784382067087</v>
      </c>
      <c r="P8" s="5">
        <f t="shared" si="5"/>
        <v>-8.4246754013623395</v>
      </c>
      <c r="Q8" s="5"/>
      <c r="R8" s="7" t="s">
        <v>22</v>
      </c>
      <c r="S8" s="8" t="s">
        <v>61</v>
      </c>
      <c r="T8" s="5">
        <f>O7</f>
        <v>-1.9252877071373646</v>
      </c>
      <c r="U8" s="5">
        <f>P7</f>
        <v>21.276711356115324</v>
      </c>
    </row>
    <row r="9" spans="1:21" ht="13.8" customHeight="1" x14ac:dyDescent="0.25">
      <c r="A9" s="3" t="s">
        <v>63</v>
      </c>
      <c r="B9" s="5">
        <f>SUM(B3:B8)</f>
        <v>65751.28</v>
      </c>
      <c r="C9" s="5">
        <f t="shared" ref="C9" si="6">SUM(C3:C8)</f>
        <v>35603</v>
      </c>
      <c r="D9" s="5"/>
      <c r="E9" s="10"/>
      <c r="F9" s="5">
        <f>SUM(F3:F8)</f>
        <v>1</v>
      </c>
      <c r="G9" s="5">
        <f t="shared" ref="G9" si="7">SUM(G3:G8)</f>
        <v>1</v>
      </c>
      <c r="H9" s="5"/>
      <c r="I9" s="10"/>
      <c r="J9" s="5">
        <f>SUM(J3:J8)</f>
        <v>100</v>
      </c>
      <c r="K9" s="5">
        <f t="shared" ref="K9" si="8">SUM(K3:K8)</f>
        <v>100</v>
      </c>
      <c r="L9" s="5"/>
      <c r="M9" s="5"/>
      <c r="N9" s="5"/>
      <c r="O9" s="5"/>
      <c r="P9" s="5"/>
      <c r="Q9" s="5"/>
      <c r="R9" s="9"/>
    </row>
    <row r="10" spans="1:21" x14ac:dyDescent="0.25">
      <c r="A10" s="3"/>
      <c r="B10" s="1"/>
      <c r="C10" s="1"/>
      <c r="E10" s="3"/>
      <c r="F10" s="1"/>
      <c r="G10" s="1"/>
      <c r="R10" s="1"/>
    </row>
    <row r="11" spans="1:21" ht="14.4" customHeight="1" x14ac:dyDescent="0.25">
      <c r="A11" s="3" t="s">
        <v>24</v>
      </c>
      <c r="B11" s="3"/>
      <c r="C11" s="3"/>
      <c r="E11" s="3" t="s">
        <v>24</v>
      </c>
      <c r="I11" s="3" t="s">
        <v>24</v>
      </c>
    </row>
    <row r="12" spans="1:21" ht="57.6" x14ac:dyDescent="0.25">
      <c r="A12" s="3" t="s">
        <v>25</v>
      </c>
      <c r="B12" s="1" t="s">
        <v>4</v>
      </c>
      <c r="C12" s="1" t="s">
        <v>0</v>
      </c>
      <c r="E12" s="3" t="s">
        <v>25</v>
      </c>
      <c r="F12" s="1" t="s">
        <v>64</v>
      </c>
      <c r="G12" s="1" t="s">
        <v>65</v>
      </c>
      <c r="I12" s="3" t="s">
        <v>25</v>
      </c>
      <c r="J12" s="1" t="s">
        <v>64</v>
      </c>
      <c r="K12" s="1" t="s">
        <v>65</v>
      </c>
      <c r="N12" s="1"/>
      <c r="R12" s="1"/>
      <c r="S12" s="1"/>
    </row>
    <row r="13" spans="1:21" ht="14.4" customHeight="1" x14ac:dyDescent="0.25">
      <c r="A13" s="1" t="s">
        <v>36</v>
      </c>
      <c r="B13" s="5">
        <v>9419.67</v>
      </c>
      <c r="C13" s="5">
        <v>3702</v>
      </c>
      <c r="D13" s="5"/>
      <c r="E13" s="7" t="s">
        <v>36</v>
      </c>
      <c r="F13" s="5">
        <f>B13/$B$19</f>
        <v>4.5170645283355265E-2</v>
      </c>
      <c r="G13" s="5">
        <f>C13/$C$19</f>
        <v>0.10032479542766086</v>
      </c>
      <c r="H13" s="5"/>
      <c r="I13" s="7" t="s">
        <v>36</v>
      </c>
      <c r="J13" s="5">
        <f>F13*100</f>
        <v>4.5170645283355269</v>
      </c>
      <c r="K13" s="5">
        <f>G13*100</f>
        <v>10.032479542766087</v>
      </c>
      <c r="L13" s="5"/>
      <c r="M13" s="5"/>
      <c r="N13" s="8"/>
      <c r="O13" s="5"/>
      <c r="P13" s="5"/>
      <c r="Q13" s="5"/>
      <c r="R13" s="9"/>
      <c r="S13" s="8"/>
      <c r="T13" s="5"/>
      <c r="U13" s="5"/>
    </row>
    <row r="14" spans="1:21" ht="14.4" customHeight="1" x14ac:dyDescent="0.25">
      <c r="A14" s="1" t="s">
        <v>37</v>
      </c>
      <c r="B14" s="5">
        <v>29109.119999999999</v>
      </c>
      <c r="C14" s="5">
        <v>6255</v>
      </c>
      <c r="D14" s="5"/>
      <c r="E14" s="7" t="s">
        <v>37</v>
      </c>
      <c r="F14" s="5">
        <f t="shared" ref="F14:F18" si="9">B14/$B$19</f>
        <v>0.13958851361360031</v>
      </c>
      <c r="G14" s="5">
        <f t="shared" ref="G14:G18" si="10">C14/$C$19</f>
        <v>0.16951150605078841</v>
      </c>
      <c r="H14" s="5"/>
      <c r="I14" s="7" t="s">
        <v>37</v>
      </c>
      <c r="J14" s="5">
        <f t="shared" ref="J14:J18" si="11">F14*100</f>
        <v>13.958851361360031</v>
      </c>
      <c r="K14" s="5">
        <f t="shared" ref="K14:K18" si="12">G14*100</f>
        <v>16.951150605078841</v>
      </c>
      <c r="L14" s="5"/>
      <c r="M14" s="5"/>
      <c r="N14" s="8"/>
      <c r="O14" s="5"/>
      <c r="P14" s="5"/>
      <c r="Q14" s="5"/>
      <c r="R14" s="12"/>
      <c r="S14" s="8"/>
      <c r="T14" s="5"/>
      <c r="U14" s="5"/>
    </row>
    <row r="15" spans="1:21" ht="14.4" customHeight="1" x14ac:dyDescent="0.25">
      <c r="A15" s="1" t="s">
        <v>38</v>
      </c>
      <c r="B15" s="5">
        <v>22162.15</v>
      </c>
      <c r="C15" s="5">
        <v>4622</v>
      </c>
      <c r="D15" s="5"/>
      <c r="E15" s="7" t="s">
        <v>38</v>
      </c>
      <c r="F15" s="5">
        <f t="shared" si="9"/>
        <v>0.1062753383469391</v>
      </c>
      <c r="G15" s="5">
        <f t="shared" si="10"/>
        <v>0.12525694339995908</v>
      </c>
      <c r="H15" s="5"/>
      <c r="I15" s="7" t="s">
        <v>38</v>
      </c>
      <c r="J15" s="5">
        <f t="shared" si="11"/>
        <v>10.62753383469391</v>
      </c>
      <c r="K15" s="5">
        <f t="shared" si="12"/>
        <v>12.525694339995908</v>
      </c>
      <c r="L15" s="5"/>
      <c r="M15" s="5"/>
      <c r="N15" s="8"/>
      <c r="O15" s="5"/>
      <c r="P15" s="5"/>
      <c r="Q15" s="5"/>
      <c r="R15" s="12"/>
      <c r="S15" s="8"/>
      <c r="T15" s="5"/>
      <c r="U15" s="5"/>
    </row>
    <row r="16" spans="1:21" ht="14.4" customHeight="1" x14ac:dyDescent="0.25">
      <c r="A16" s="1" t="s">
        <v>39</v>
      </c>
      <c r="B16" s="5">
        <v>48920.03</v>
      </c>
      <c r="C16" s="5">
        <v>9559</v>
      </c>
      <c r="D16" s="5"/>
      <c r="E16" s="7" t="s">
        <v>39</v>
      </c>
      <c r="F16" s="5">
        <f t="shared" si="9"/>
        <v>0.23458882555133012</v>
      </c>
      <c r="G16" s="5">
        <f t="shared" si="10"/>
        <v>0.25905043746434636</v>
      </c>
      <c r="H16" s="5"/>
      <c r="I16" s="7" t="s">
        <v>39</v>
      </c>
      <c r="J16" s="5">
        <f t="shared" si="11"/>
        <v>23.458882555133012</v>
      </c>
      <c r="K16" s="5">
        <f t="shared" si="12"/>
        <v>25.905043746434636</v>
      </c>
      <c r="L16" s="5"/>
      <c r="M16" s="5"/>
      <c r="N16" s="8"/>
      <c r="O16" s="5"/>
      <c r="P16" s="5"/>
      <c r="Q16" s="5"/>
      <c r="R16" s="12"/>
      <c r="S16" s="8"/>
      <c r="T16" s="5"/>
      <c r="U16" s="5"/>
    </row>
    <row r="17" spans="1:21" ht="14.4" x14ac:dyDescent="0.25">
      <c r="A17" s="1" t="s">
        <v>40</v>
      </c>
      <c r="B17" s="5">
        <v>77723.63</v>
      </c>
      <c r="C17" s="5">
        <v>5902</v>
      </c>
      <c r="D17" s="5"/>
      <c r="E17" s="7" t="s">
        <v>40</v>
      </c>
      <c r="F17" s="5">
        <f t="shared" si="9"/>
        <v>0.37271226283561415</v>
      </c>
      <c r="G17" s="5">
        <f t="shared" si="10"/>
        <v>0.15994514927446093</v>
      </c>
      <c r="H17" s="5"/>
      <c r="I17" s="7" t="s">
        <v>40</v>
      </c>
      <c r="J17" s="5">
        <f t="shared" si="11"/>
        <v>37.271226283561418</v>
      </c>
      <c r="K17" s="5">
        <f t="shared" si="12"/>
        <v>15.994514927446094</v>
      </c>
      <c r="L17" s="5"/>
      <c r="M17" s="5"/>
      <c r="N17" s="8"/>
      <c r="O17" s="5"/>
      <c r="P17" s="5"/>
      <c r="Q17" s="5"/>
      <c r="R17" s="12"/>
      <c r="S17" s="8"/>
      <c r="T17" s="5"/>
      <c r="U17" s="5"/>
    </row>
    <row r="18" spans="1:21" ht="14.4" x14ac:dyDescent="0.25">
      <c r="A18" s="1" t="s">
        <v>41</v>
      </c>
      <c r="B18" s="5">
        <v>21200.61</v>
      </c>
      <c r="C18" s="5">
        <v>6860.15</v>
      </c>
      <c r="D18" s="5"/>
      <c r="E18" s="7" t="s">
        <v>41</v>
      </c>
      <c r="F18" s="5">
        <f t="shared" si="9"/>
        <v>0.10166441436916096</v>
      </c>
      <c r="G18" s="5">
        <f t="shared" si="10"/>
        <v>0.18591116838278435</v>
      </c>
      <c r="H18" s="5"/>
      <c r="I18" s="7" t="s">
        <v>41</v>
      </c>
      <c r="J18" s="5">
        <f t="shared" si="11"/>
        <v>10.166441436916095</v>
      </c>
      <c r="K18" s="5">
        <f t="shared" si="12"/>
        <v>18.591116838278435</v>
      </c>
      <c r="L18" s="5"/>
      <c r="M18" s="5"/>
      <c r="N18" s="8"/>
      <c r="O18" s="5"/>
      <c r="P18" s="5"/>
      <c r="Q18" s="5"/>
      <c r="R18" s="7"/>
      <c r="S18" s="8"/>
      <c r="T18" s="5"/>
      <c r="U18" s="5"/>
    </row>
    <row r="19" spans="1:21" x14ac:dyDescent="0.25">
      <c r="A19" s="3" t="s">
        <v>63</v>
      </c>
      <c r="B19" s="5">
        <f>SUM(B13:B18)</f>
        <v>208535.21000000002</v>
      </c>
      <c r="C19" s="5">
        <f t="shared" ref="C19" si="13">SUM(C13:C18)</f>
        <v>36900.15</v>
      </c>
      <c r="D19" s="5"/>
      <c r="E19" s="5"/>
      <c r="F19" s="5">
        <f>SUM(F13:F18)</f>
        <v>1</v>
      </c>
      <c r="G19" s="5">
        <f t="shared" ref="G19" si="14">SUM(G13:G18)</f>
        <v>0.99999999999999989</v>
      </c>
      <c r="H19" s="5"/>
      <c r="I19" s="10"/>
      <c r="J19" s="5">
        <f>SUM(J13:J18)</f>
        <v>100</v>
      </c>
      <c r="K19" s="5">
        <f t="shared" ref="K19" si="15">SUM(K13:K18)</f>
        <v>100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3"/>
      <c r="B20" s="3"/>
      <c r="C20" s="3"/>
      <c r="E20" s="3"/>
    </row>
    <row r="21" spans="1:21" x14ac:dyDescent="0.25">
      <c r="A21" s="3"/>
      <c r="B21" s="3"/>
      <c r="C21" s="3"/>
      <c r="E21" s="3"/>
    </row>
    <row r="22" spans="1:21" x14ac:dyDescent="0.25">
      <c r="A22" s="3"/>
      <c r="B22" s="3"/>
      <c r="C22" s="3"/>
      <c r="E22" s="3"/>
    </row>
    <row r="23" spans="1:21" x14ac:dyDescent="0.25">
      <c r="A23" s="3"/>
      <c r="B23" s="1"/>
      <c r="C23" s="1"/>
      <c r="E23" s="3"/>
    </row>
    <row r="24" spans="1:21" x14ac:dyDescent="0.25">
      <c r="A24" s="3"/>
      <c r="B24" s="3"/>
      <c r="C24" s="3"/>
      <c r="E24" s="3"/>
    </row>
    <row r="25" spans="1:21" x14ac:dyDescent="0.25">
      <c r="A25" s="3"/>
      <c r="B25" s="3"/>
      <c r="C25" s="3"/>
      <c r="E25" s="3"/>
    </row>
    <row r="26" spans="1:21" x14ac:dyDescent="0.25">
      <c r="A26" s="3"/>
      <c r="B26" s="3"/>
      <c r="C26" s="3"/>
      <c r="E26" s="3"/>
    </row>
    <row r="27" spans="1:21" x14ac:dyDescent="0.25">
      <c r="A27" s="3"/>
      <c r="B27" s="3"/>
      <c r="C27" s="3"/>
      <c r="E27" s="3"/>
    </row>
    <row r="28" spans="1:21" x14ac:dyDescent="0.25">
      <c r="A28" s="3"/>
      <c r="B28" s="3"/>
      <c r="C28" s="3"/>
      <c r="E28" s="3"/>
    </row>
  </sheetData>
  <mergeCells count="4">
    <mergeCell ref="R16:R17"/>
    <mergeCell ref="R14:R15"/>
    <mergeCell ref="R3:R5"/>
    <mergeCell ref="R6:R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5D20-202A-46EE-8E49-2BC236813706}">
  <dimension ref="A1:J65"/>
  <sheetViews>
    <sheetView tabSelected="1" topLeftCell="A49" workbookViewId="0">
      <selection activeCell="D62" sqref="D62"/>
    </sheetView>
  </sheetViews>
  <sheetFormatPr defaultRowHeight="13.8" x14ac:dyDescent="0.25"/>
  <cols>
    <col min="1" max="2" width="8.88671875" style="3"/>
    <col min="3" max="3" width="9.88671875" style="3" customWidth="1"/>
    <col min="4" max="4" width="11.109375" style="3" bestFit="1" customWidth="1"/>
    <col min="5" max="6" width="8.88671875" style="3"/>
    <col min="7" max="8" width="9.5546875" style="3" customWidth="1"/>
    <col min="9" max="16384" width="8.88671875" style="3"/>
  </cols>
  <sheetData>
    <row r="1" spans="1:10" ht="14.4" x14ac:dyDescent="0.25">
      <c r="A1" s="3" t="s">
        <v>68</v>
      </c>
      <c r="F1" s="3" t="s">
        <v>69</v>
      </c>
    </row>
    <row r="2" spans="1:10" ht="57.6" x14ac:dyDescent="0.25">
      <c r="A2" s="3" t="s">
        <v>25</v>
      </c>
      <c r="B2" s="1" t="s">
        <v>4</v>
      </c>
      <c r="C2" s="1" t="s">
        <v>0</v>
      </c>
      <c r="F2" s="3" t="s">
        <v>25</v>
      </c>
      <c r="G2" s="1" t="s">
        <v>4</v>
      </c>
      <c r="H2" s="1" t="s">
        <v>0</v>
      </c>
      <c r="J2" s="1"/>
    </row>
    <row r="3" spans="1:10" ht="14.4" x14ac:dyDescent="0.25">
      <c r="A3" s="1" t="s">
        <v>26</v>
      </c>
      <c r="B3" s="3">
        <v>2378.1799999999998</v>
      </c>
      <c r="C3" s="3">
        <v>1860</v>
      </c>
      <c r="F3" s="1" t="s">
        <v>26</v>
      </c>
      <c r="G3" s="3">
        <v>1922.4</v>
      </c>
      <c r="H3" s="3">
        <v>2170.6999999999998</v>
      </c>
    </row>
    <row r="4" spans="1:10" ht="14.4" x14ac:dyDescent="0.25">
      <c r="A4" s="1" t="s">
        <v>27</v>
      </c>
      <c r="B4" s="3">
        <v>6981.1</v>
      </c>
      <c r="C4" s="3">
        <v>1228</v>
      </c>
      <c r="F4" s="1" t="s">
        <v>27</v>
      </c>
      <c r="G4" s="3">
        <v>4122.1000000000004</v>
      </c>
      <c r="H4" s="3">
        <v>1557</v>
      </c>
    </row>
    <row r="5" spans="1:10" ht="14.4" x14ac:dyDescent="0.25">
      <c r="A5" s="1" t="s">
        <v>28</v>
      </c>
      <c r="B5" s="3">
        <v>16149.06</v>
      </c>
      <c r="C5" s="3">
        <v>7034</v>
      </c>
      <c r="F5" s="1" t="s">
        <v>28</v>
      </c>
      <c r="G5" s="3">
        <v>25695.360000000001</v>
      </c>
      <c r="H5" s="3">
        <v>7519.52</v>
      </c>
    </row>
    <row r="6" spans="1:10" ht="14.4" x14ac:dyDescent="0.25">
      <c r="A6" s="1" t="s">
        <v>29</v>
      </c>
      <c r="B6" s="3">
        <v>4897.29</v>
      </c>
      <c r="C6" s="3">
        <v>2210</v>
      </c>
      <c r="F6" s="1" t="s">
        <v>29</v>
      </c>
      <c r="G6" s="3">
        <v>3048.33</v>
      </c>
      <c r="H6" s="3">
        <v>2418</v>
      </c>
    </row>
    <row r="7" spans="1:10" ht="14.4" x14ac:dyDescent="0.25">
      <c r="A7" s="1" t="s">
        <v>30</v>
      </c>
      <c r="B7" s="3">
        <v>34566.76</v>
      </c>
      <c r="C7" s="3">
        <v>7810</v>
      </c>
      <c r="F7" s="1" t="s">
        <v>30</v>
      </c>
      <c r="G7" s="3">
        <v>42051.24</v>
      </c>
      <c r="H7" s="3">
        <v>8029.3</v>
      </c>
    </row>
    <row r="8" spans="1:10" ht="14.4" x14ac:dyDescent="0.25">
      <c r="A8" s="1" t="s">
        <v>31</v>
      </c>
      <c r="B8" s="3">
        <v>20840.78</v>
      </c>
      <c r="C8" s="3">
        <v>5276</v>
      </c>
      <c r="F8" s="1" t="s">
        <v>31</v>
      </c>
      <c r="G8" s="3">
        <v>28949.63</v>
      </c>
      <c r="H8" s="3">
        <v>5657</v>
      </c>
    </row>
    <row r="9" spans="1:10" ht="14.4" x14ac:dyDescent="0.25">
      <c r="A9" s="1" t="s">
        <v>32</v>
      </c>
      <c r="B9" s="3">
        <v>8372.84</v>
      </c>
      <c r="C9" s="3">
        <v>3666</v>
      </c>
      <c r="F9" s="1" t="s">
        <v>32</v>
      </c>
      <c r="G9" s="3">
        <v>17511.810000000001</v>
      </c>
      <c r="H9" s="3">
        <v>3911</v>
      </c>
    </row>
    <row r="10" spans="1:10" ht="14.4" x14ac:dyDescent="0.25">
      <c r="A10" s="1" t="s">
        <v>33</v>
      </c>
      <c r="B10" s="3">
        <v>41523.879999999997</v>
      </c>
      <c r="C10" s="3">
        <v>9470</v>
      </c>
      <c r="F10" s="1" t="s">
        <v>33</v>
      </c>
      <c r="G10" s="3">
        <v>30528.34</v>
      </c>
      <c r="H10" s="3">
        <v>10005.83</v>
      </c>
    </row>
    <row r="11" spans="1:10" ht="14.4" x14ac:dyDescent="0.25">
      <c r="A11" s="1" t="s">
        <v>34</v>
      </c>
      <c r="B11" s="3">
        <v>12827.85</v>
      </c>
      <c r="C11" s="3">
        <v>10130</v>
      </c>
      <c r="F11" s="1" t="s">
        <v>34</v>
      </c>
      <c r="G11" s="3">
        <v>37953.46</v>
      </c>
      <c r="H11" s="3">
        <v>11169</v>
      </c>
    </row>
    <row r="12" spans="1:10" ht="14.4" x14ac:dyDescent="0.25">
      <c r="A12" s="1" t="s">
        <v>35</v>
      </c>
      <c r="B12" s="3">
        <v>1999.13</v>
      </c>
      <c r="C12" s="3">
        <v>864</v>
      </c>
      <c r="F12" s="1" t="s">
        <v>35</v>
      </c>
      <c r="G12" s="3">
        <v>2171.2800000000002</v>
      </c>
      <c r="H12" s="3">
        <v>926</v>
      </c>
    </row>
    <row r="13" spans="1:10" ht="14.4" x14ac:dyDescent="0.25">
      <c r="A13" s="1" t="s">
        <v>36</v>
      </c>
      <c r="B13" s="3">
        <v>5119.82</v>
      </c>
      <c r="C13" s="3">
        <v>3427</v>
      </c>
      <c r="F13" s="1" t="s">
        <v>36</v>
      </c>
      <c r="G13" s="3">
        <v>9419.67</v>
      </c>
      <c r="H13" s="3">
        <v>3702</v>
      </c>
    </row>
    <row r="14" spans="1:10" ht="14.4" x14ac:dyDescent="0.25">
      <c r="A14" s="1" t="s">
        <v>37</v>
      </c>
      <c r="B14" s="3">
        <v>14073.86</v>
      </c>
      <c r="C14" s="3">
        <v>6131</v>
      </c>
      <c r="F14" s="1" t="s">
        <v>37</v>
      </c>
      <c r="G14" s="3">
        <v>29109.119999999999</v>
      </c>
      <c r="H14" s="3">
        <v>6255</v>
      </c>
    </row>
    <row r="15" spans="1:10" ht="14.4" x14ac:dyDescent="0.25">
      <c r="A15" s="1" t="s">
        <v>38</v>
      </c>
      <c r="B15" s="3">
        <v>16128.62</v>
      </c>
      <c r="C15" s="3">
        <v>4432</v>
      </c>
      <c r="F15" s="1" t="s">
        <v>38</v>
      </c>
      <c r="G15" s="3">
        <v>22162.15</v>
      </c>
      <c r="H15" s="3">
        <v>4622</v>
      </c>
    </row>
    <row r="16" spans="1:10" ht="14.4" x14ac:dyDescent="0.25">
      <c r="A16" s="1" t="s">
        <v>39</v>
      </c>
      <c r="B16" s="3">
        <v>14192.45</v>
      </c>
      <c r="C16" s="3">
        <v>9487</v>
      </c>
      <c r="F16" s="1" t="s">
        <v>39</v>
      </c>
      <c r="G16" s="3">
        <v>48920.03</v>
      </c>
      <c r="H16" s="3">
        <v>9559</v>
      </c>
    </row>
    <row r="17" spans="1:8" ht="14.4" x14ac:dyDescent="0.25">
      <c r="A17" s="1" t="s">
        <v>40</v>
      </c>
      <c r="B17" s="3">
        <v>9297.74</v>
      </c>
      <c r="C17" s="3">
        <v>5720</v>
      </c>
      <c r="F17" s="1" t="s">
        <v>40</v>
      </c>
      <c r="G17" s="3">
        <v>77723.63</v>
      </c>
      <c r="H17" s="3">
        <v>5902</v>
      </c>
    </row>
    <row r="18" spans="1:8" ht="14.4" x14ac:dyDescent="0.25">
      <c r="A18" s="1" t="s">
        <v>41</v>
      </c>
      <c r="B18" s="3">
        <v>6938.79</v>
      </c>
      <c r="C18" s="3">
        <v>6406</v>
      </c>
      <c r="F18" s="1" t="s">
        <v>41</v>
      </c>
      <c r="G18" s="3">
        <v>21200.61</v>
      </c>
      <c r="H18" s="3">
        <v>6860.15</v>
      </c>
    </row>
    <row r="19" spans="1:8" ht="14.4" x14ac:dyDescent="0.25">
      <c r="A19" s="1" t="s">
        <v>42</v>
      </c>
      <c r="B19" s="3">
        <v>19683.349999999999</v>
      </c>
      <c r="C19" s="3">
        <v>2458</v>
      </c>
      <c r="F19" s="1" t="s">
        <v>42</v>
      </c>
      <c r="G19" s="3">
        <v>28787.94</v>
      </c>
      <c r="H19" s="3">
        <v>2529</v>
      </c>
    </row>
    <row r="20" spans="1:8" ht="14.4" x14ac:dyDescent="0.25">
      <c r="A20" s="1" t="s">
        <v>43</v>
      </c>
      <c r="B20" s="3">
        <v>7323.29</v>
      </c>
      <c r="C20" s="3">
        <v>4856</v>
      </c>
      <c r="F20" s="1" t="s">
        <v>43</v>
      </c>
      <c r="G20" s="3">
        <v>19745.28</v>
      </c>
      <c r="H20" s="3">
        <v>4885</v>
      </c>
    </row>
    <row r="21" spans="1:8" ht="14.4" x14ac:dyDescent="0.25">
      <c r="A21" s="1" t="s">
        <v>44</v>
      </c>
      <c r="B21" s="3">
        <v>9557.0300000000007</v>
      </c>
      <c r="C21" s="3">
        <v>2859</v>
      </c>
      <c r="F21" s="1" t="s">
        <v>44</v>
      </c>
      <c r="G21" s="3">
        <v>12912.17</v>
      </c>
      <c r="H21" s="3">
        <v>3075</v>
      </c>
    </row>
    <row r="22" spans="1:8" ht="14.4" x14ac:dyDescent="0.25">
      <c r="A22" s="1" t="s">
        <v>45</v>
      </c>
      <c r="B22" s="3">
        <v>14913.23</v>
      </c>
      <c r="C22" s="3">
        <v>8185</v>
      </c>
      <c r="F22" s="1" t="s">
        <v>45</v>
      </c>
      <c r="G22" s="3">
        <v>27176.3</v>
      </c>
      <c r="H22" s="3">
        <v>8302</v>
      </c>
    </row>
    <row r="23" spans="1:8" ht="14.4" x14ac:dyDescent="0.25">
      <c r="A23" s="1" t="s">
        <v>46</v>
      </c>
      <c r="B23" s="3">
        <v>7205.9</v>
      </c>
      <c r="C23" s="3">
        <v>3537</v>
      </c>
      <c r="F23" s="1" t="s">
        <v>46</v>
      </c>
      <c r="G23" s="3">
        <v>14708.97</v>
      </c>
      <c r="H23" s="3">
        <v>3580</v>
      </c>
    </row>
    <row r="24" spans="1:8" ht="14.4" x14ac:dyDescent="0.25">
      <c r="A24" s="1" t="s">
        <v>47</v>
      </c>
      <c r="B24" s="3">
        <v>12029.81</v>
      </c>
      <c r="C24" s="3">
        <v>4571</v>
      </c>
      <c r="F24" s="1" t="s">
        <v>47</v>
      </c>
      <c r="G24" s="3">
        <v>14561.58</v>
      </c>
      <c r="H24" s="3">
        <v>4801</v>
      </c>
    </row>
    <row r="25" spans="1:8" ht="14.4" x14ac:dyDescent="0.25">
      <c r="A25" s="1" t="s">
        <v>48</v>
      </c>
      <c r="B25" s="3">
        <v>916</v>
      </c>
      <c r="C25" s="3">
        <v>296</v>
      </c>
      <c r="F25" s="1" t="s">
        <v>48</v>
      </c>
      <c r="G25" s="3">
        <v>1888.59</v>
      </c>
      <c r="H25" s="3">
        <v>337</v>
      </c>
    </row>
    <row r="26" spans="1:8" ht="14.4" x14ac:dyDescent="0.25">
      <c r="A26" s="1" t="s">
        <v>49</v>
      </c>
      <c r="B26" s="3">
        <v>5908.74</v>
      </c>
      <c r="C26" s="3">
        <v>3727</v>
      </c>
      <c r="F26" s="1" t="s">
        <v>49</v>
      </c>
      <c r="G26" s="3">
        <v>11376.43</v>
      </c>
      <c r="H26" s="3">
        <v>3835</v>
      </c>
    </row>
    <row r="27" spans="1:8" ht="14.4" x14ac:dyDescent="0.25">
      <c r="A27" s="1" t="s">
        <v>50</v>
      </c>
      <c r="B27" s="3">
        <v>12345.69</v>
      </c>
      <c r="C27" s="3">
        <v>2555</v>
      </c>
      <c r="F27" s="1" t="s">
        <v>50</v>
      </c>
      <c r="G27" s="3">
        <v>7291.47</v>
      </c>
      <c r="H27" s="3">
        <v>2626</v>
      </c>
    </row>
    <row r="28" spans="1:8" ht="14.4" x14ac:dyDescent="0.25">
      <c r="A28" s="1" t="s">
        <v>51</v>
      </c>
      <c r="B28" s="3">
        <v>1622.41</v>
      </c>
      <c r="C28" s="3">
        <v>557</v>
      </c>
      <c r="F28" s="1" t="s">
        <v>51</v>
      </c>
      <c r="G28" s="3">
        <v>7782.33</v>
      </c>
      <c r="H28" s="3">
        <v>598</v>
      </c>
    </row>
    <row r="29" spans="1:8" ht="14.4" x14ac:dyDescent="0.25">
      <c r="A29" s="1" t="s">
        <v>52</v>
      </c>
      <c r="B29" s="3">
        <v>4241.1499999999996</v>
      </c>
      <c r="C29" s="3">
        <v>625</v>
      </c>
      <c r="F29" s="1" t="s">
        <v>52</v>
      </c>
      <c r="G29" s="3">
        <v>8259.27</v>
      </c>
      <c r="H29" s="3">
        <v>682</v>
      </c>
    </row>
    <row r="30" spans="1:8" ht="14.4" x14ac:dyDescent="0.25">
      <c r="A30" s="1" t="s">
        <v>53</v>
      </c>
      <c r="B30" s="3">
        <v>5234.16</v>
      </c>
      <c r="C30" s="3">
        <v>2159</v>
      </c>
      <c r="F30" s="1" t="s">
        <v>53</v>
      </c>
      <c r="G30" s="3">
        <v>26606.93</v>
      </c>
      <c r="H30" s="3">
        <v>2445</v>
      </c>
    </row>
    <row r="31" spans="1:8" ht="14.4" x14ac:dyDescent="0.25">
      <c r="A31" s="1" t="s">
        <v>54</v>
      </c>
      <c r="B31" s="3">
        <v>19939.86</v>
      </c>
      <c r="C31" s="3">
        <v>4341</v>
      </c>
      <c r="F31" s="1" t="s">
        <v>54</v>
      </c>
      <c r="G31" s="3">
        <v>9866.19</v>
      </c>
      <c r="H31" s="3">
        <v>4369</v>
      </c>
    </row>
    <row r="32" spans="1:8" ht="14.4" x14ac:dyDescent="0.25">
      <c r="A32" s="1" t="s">
        <v>55</v>
      </c>
      <c r="B32" s="3">
        <v>6294.26</v>
      </c>
      <c r="C32" s="3">
        <v>2740</v>
      </c>
      <c r="F32" s="1" t="s">
        <v>55</v>
      </c>
      <c r="G32" s="3">
        <v>12254.69</v>
      </c>
      <c r="H32" s="3">
        <v>2717</v>
      </c>
    </row>
    <row r="33" spans="1:10" ht="14.4" x14ac:dyDescent="0.25">
      <c r="A33" s="1" t="s">
        <v>56</v>
      </c>
      <c r="B33" s="3">
        <v>18145.73</v>
      </c>
      <c r="C33" s="3">
        <v>3826</v>
      </c>
      <c r="F33" s="1" t="s">
        <v>56</v>
      </c>
      <c r="G33" s="3">
        <v>14538.62</v>
      </c>
      <c r="H33" s="3">
        <v>3788.7</v>
      </c>
    </row>
    <row r="35" spans="1:10" ht="57.6" x14ac:dyDescent="0.25">
      <c r="A35" s="3" t="s">
        <v>1</v>
      </c>
      <c r="B35" s="1" t="s">
        <v>4</v>
      </c>
      <c r="C35" s="1" t="s">
        <v>0</v>
      </c>
      <c r="F35" s="3" t="s">
        <v>24</v>
      </c>
      <c r="G35" s="1" t="s">
        <v>4</v>
      </c>
      <c r="H35" s="1" t="s">
        <v>0</v>
      </c>
      <c r="J35" s="1"/>
    </row>
    <row r="36" spans="1:10" ht="14.4" x14ac:dyDescent="0.25">
      <c r="A36" s="3" t="s">
        <v>70</v>
      </c>
      <c r="B36" s="3">
        <f>SUM(B3:B12)</f>
        <v>150536.87</v>
      </c>
      <c r="C36" s="3">
        <f>SUM(C3:C12)</f>
        <v>49548</v>
      </c>
      <c r="F36" s="3" t="s">
        <v>70</v>
      </c>
      <c r="G36" s="3">
        <f>SUM(G3:G12)</f>
        <v>193953.94999999998</v>
      </c>
      <c r="H36" s="3">
        <f>SUM(H3:H12)</f>
        <v>53363.35</v>
      </c>
    </row>
    <row r="37" spans="1:10" ht="14.4" x14ac:dyDescent="0.25">
      <c r="A37" s="3" t="s">
        <v>71</v>
      </c>
      <c r="B37" s="3">
        <f>SUM(B13:B18)</f>
        <v>65751.28</v>
      </c>
      <c r="C37" s="3">
        <f>SUM(C13:C18)</f>
        <v>35603</v>
      </c>
      <c r="F37" s="3" t="s">
        <v>71</v>
      </c>
      <c r="G37" s="3">
        <f>SUM(G13:G18)</f>
        <v>208535.21000000002</v>
      </c>
      <c r="H37" s="3">
        <f>SUM(H13:H18)</f>
        <v>36900.15</v>
      </c>
    </row>
    <row r="38" spans="1:10" ht="14.4" x14ac:dyDescent="0.25">
      <c r="A38" s="3" t="s">
        <v>72</v>
      </c>
      <c r="B38" s="3">
        <f>SUM(B19:B30)</f>
        <v>100980.76000000001</v>
      </c>
      <c r="C38" s="3">
        <f>SUM(C19:C30)</f>
        <v>36385</v>
      </c>
      <c r="F38" s="3" t="s">
        <v>72</v>
      </c>
      <c r="G38" s="3">
        <f>SUM(G19:G30)</f>
        <v>181097.25999999998</v>
      </c>
      <c r="H38" s="3">
        <f>SUM(H19:H30)</f>
        <v>37695</v>
      </c>
    </row>
    <row r="39" spans="1:10" ht="14.4" x14ac:dyDescent="0.25">
      <c r="A39" s="3" t="s">
        <v>73</v>
      </c>
      <c r="B39" s="3">
        <f t="shared" ref="B39" si="0">SUM(B31:B33)</f>
        <v>44379.850000000006</v>
      </c>
      <c r="C39" s="3">
        <f>SUM(C31:C33)</f>
        <v>10907</v>
      </c>
      <c r="F39" s="3" t="s">
        <v>73</v>
      </c>
      <c r="G39" s="3">
        <f t="shared" ref="G39" si="1">SUM(G31:G33)</f>
        <v>36659.5</v>
      </c>
      <c r="H39" s="3">
        <f>SUM(H31:H33)</f>
        <v>10874.7</v>
      </c>
    </row>
    <row r="40" spans="1:10" ht="14.4" x14ac:dyDescent="0.25">
      <c r="A40" s="3" t="s">
        <v>74</v>
      </c>
      <c r="B40" s="3">
        <f>SUM(B36:B39)</f>
        <v>361648.76</v>
      </c>
      <c r="C40" s="3">
        <f>SUM(C36:C39)</f>
        <v>132443</v>
      </c>
      <c r="F40" s="3" t="s">
        <v>74</v>
      </c>
      <c r="G40" s="3">
        <f>SUM(G36:G39)</f>
        <v>620245.92000000004</v>
      </c>
      <c r="H40" s="3">
        <f>SUM(H36:H39)</f>
        <v>138833.20000000001</v>
      </c>
    </row>
    <row r="42" spans="1:10" ht="43.2" x14ac:dyDescent="0.25">
      <c r="A42" s="3" t="s">
        <v>1</v>
      </c>
      <c r="B42" s="1" t="s">
        <v>64</v>
      </c>
      <c r="C42" s="1" t="s">
        <v>75</v>
      </c>
      <c r="D42" s="1"/>
      <c r="F42" s="3" t="s">
        <v>24</v>
      </c>
      <c r="G42" s="1" t="s">
        <v>64</v>
      </c>
      <c r="H42" s="1" t="s">
        <v>75</v>
      </c>
      <c r="I42" s="1"/>
      <c r="J42" s="1"/>
    </row>
    <row r="43" spans="1:10" ht="14.4" x14ac:dyDescent="0.25">
      <c r="A43" s="3" t="s">
        <v>70</v>
      </c>
      <c r="B43" s="3">
        <f>B36/$B$40</f>
        <v>0.4162515862075678</v>
      </c>
      <c r="C43" s="3">
        <f>C36/$C$40</f>
        <v>0.37410810688371604</v>
      </c>
      <c r="F43" s="3" t="s">
        <v>70</v>
      </c>
      <c r="G43" s="3">
        <f>G36/$G$40</f>
        <v>0.31270491871998124</v>
      </c>
      <c r="H43" s="3">
        <f>H36/$H$40</f>
        <v>0.38437023709026369</v>
      </c>
    </row>
    <row r="44" spans="1:10" ht="14.4" x14ac:dyDescent="0.25">
      <c r="A44" s="3" t="s">
        <v>71</v>
      </c>
      <c r="B44" s="3">
        <f t="shared" ref="B44:B46" si="2">B37/$B$40</f>
        <v>0.18180977587203673</v>
      </c>
      <c r="C44" s="3">
        <f>C37/$C$40</f>
        <v>0.26881752905023293</v>
      </c>
      <c r="F44" s="3" t="s">
        <v>71</v>
      </c>
      <c r="G44" s="3">
        <f t="shared" ref="G44:G46" si="3">G37/$G$40</f>
        <v>0.33621375534400938</v>
      </c>
      <c r="H44" s="3">
        <f>H37/$H$40</f>
        <v>0.26578765021623069</v>
      </c>
    </row>
    <row r="45" spans="1:10" ht="14.4" x14ac:dyDescent="0.25">
      <c r="A45" s="3" t="s">
        <v>72</v>
      </c>
      <c r="B45" s="3">
        <f t="shared" si="2"/>
        <v>0.2792232994245577</v>
      </c>
      <c r="C45" s="3">
        <f>C38/$C$40</f>
        <v>0.27472195586025688</v>
      </c>
      <c r="F45" s="3" t="s">
        <v>72</v>
      </c>
      <c r="G45" s="3">
        <f t="shared" si="3"/>
        <v>0.29197654375541876</v>
      </c>
      <c r="H45" s="3">
        <f>H38/$H$40</f>
        <v>0.27151286579867062</v>
      </c>
    </row>
    <row r="46" spans="1:10" ht="14.4" x14ac:dyDescent="0.25">
      <c r="A46" s="3" t="s">
        <v>73</v>
      </c>
      <c r="B46" s="3">
        <f t="shared" si="2"/>
        <v>0.12271533849583779</v>
      </c>
      <c r="C46" s="3">
        <f>C39/$C$40</f>
        <v>8.2352408205794189E-2</v>
      </c>
      <c r="F46" s="3" t="s">
        <v>73</v>
      </c>
      <c r="G46" s="3">
        <f t="shared" si="3"/>
        <v>5.9104782180590558E-2</v>
      </c>
      <c r="H46" s="3">
        <f>H39/$H$40</f>
        <v>7.8329246894834947E-2</v>
      </c>
    </row>
    <row r="47" spans="1:10" ht="14.4" x14ac:dyDescent="0.25">
      <c r="A47" s="3" t="s">
        <v>74</v>
      </c>
      <c r="B47" s="3">
        <f>SUM(B43:B46)</f>
        <v>1</v>
      </c>
      <c r="C47" s="3">
        <f t="shared" ref="C47" si="4">SUM(C43:C46)</f>
        <v>1.0000000000000002</v>
      </c>
      <c r="F47" s="3" t="s">
        <v>74</v>
      </c>
      <c r="G47" s="3">
        <f>SUM(G43:G46)</f>
        <v>1</v>
      </c>
      <c r="H47" s="3">
        <f t="shared" ref="H47" si="5">SUM(H43:H46)</f>
        <v>1</v>
      </c>
    </row>
    <row r="48" spans="1:10" x14ac:dyDescent="0.25">
      <c r="B48" s="1"/>
      <c r="C48" s="1"/>
      <c r="D48" s="1"/>
    </row>
    <row r="49" spans="1:10" ht="43.2" x14ac:dyDescent="0.25">
      <c r="A49" s="3" t="s">
        <v>1</v>
      </c>
      <c r="B49" s="1" t="s">
        <v>64</v>
      </c>
      <c r="C49" s="1" t="s">
        <v>75</v>
      </c>
      <c r="D49" s="1"/>
      <c r="F49" s="3" t="s">
        <v>24</v>
      </c>
      <c r="G49" s="1" t="s">
        <v>64</v>
      </c>
      <c r="H49" s="1" t="s">
        <v>75</v>
      </c>
      <c r="I49" s="1"/>
      <c r="J49" s="1"/>
    </row>
    <row r="50" spans="1:10" ht="14.4" x14ac:dyDescent="0.25">
      <c r="A50" s="3" t="s">
        <v>70</v>
      </c>
      <c r="B50" s="3">
        <f>B43*100</f>
        <v>41.625158620756778</v>
      </c>
      <c r="C50" s="3">
        <f>C43*100</f>
        <v>37.410810688371605</v>
      </c>
      <c r="F50" s="3" t="s">
        <v>70</v>
      </c>
      <c r="G50" s="3">
        <f>G43*100</f>
        <v>31.270491871998125</v>
      </c>
      <c r="H50" s="3">
        <f t="shared" ref="H50" si="6">H43*100</f>
        <v>38.43702370902637</v>
      </c>
    </row>
    <row r="51" spans="1:10" ht="14.4" x14ac:dyDescent="0.25">
      <c r="A51" s="3" t="s">
        <v>71</v>
      </c>
      <c r="B51" s="3">
        <f t="shared" ref="B51:C51" si="7">B44*100</f>
        <v>18.180977587203671</v>
      </c>
      <c r="C51" s="3">
        <f t="shared" si="7"/>
        <v>26.881752905023294</v>
      </c>
      <c r="F51" s="3" t="s">
        <v>71</v>
      </c>
      <c r="G51" s="3">
        <f t="shared" ref="G51:H51" si="8">G44*100</f>
        <v>33.62137553440094</v>
      </c>
      <c r="H51" s="3">
        <f t="shared" si="8"/>
        <v>26.57876502162307</v>
      </c>
    </row>
    <row r="52" spans="1:10" ht="14.4" x14ac:dyDescent="0.25">
      <c r="A52" s="3" t="s">
        <v>72</v>
      </c>
      <c r="B52" s="3">
        <f t="shared" ref="B52:C52" si="9">B45*100</f>
        <v>27.922329942455772</v>
      </c>
      <c r="C52" s="3">
        <f t="shared" si="9"/>
        <v>27.472195586025688</v>
      </c>
      <c r="F52" s="3" t="s">
        <v>72</v>
      </c>
      <c r="G52" s="3">
        <f t="shared" ref="G52:H52" si="10">G45*100</f>
        <v>29.197654375541877</v>
      </c>
      <c r="H52" s="3">
        <f t="shared" si="10"/>
        <v>27.151286579867062</v>
      </c>
    </row>
    <row r="53" spans="1:10" ht="14.4" x14ac:dyDescent="0.25">
      <c r="A53" s="3" t="s">
        <v>73</v>
      </c>
      <c r="B53" s="3">
        <f t="shared" ref="B53:C53" si="11">B46*100</f>
        <v>12.271533849583779</v>
      </c>
      <c r="C53" s="3">
        <f t="shared" si="11"/>
        <v>8.2352408205794188</v>
      </c>
      <c r="F53" s="3" t="s">
        <v>73</v>
      </c>
      <c r="G53" s="3">
        <f t="shared" ref="G53:H53" si="12">G46*100</f>
        <v>5.9104782180590556</v>
      </c>
      <c r="H53" s="3">
        <f t="shared" si="12"/>
        <v>7.8329246894834945</v>
      </c>
    </row>
    <row r="55" spans="1:10" ht="14.4" x14ac:dyDescent="0.25">
      <c r="B55" s="3" t="s">
        <v>7</v>
      </c>
      <c r="C55" s="3" t="s">
        <v>8</v>
      </c>
      <c r="E55" s="1"/>
    </row>
    <row r="56" spans="1:10" ht="14.4" x14ac:dyDescent="0.25">
      <c r="A56" s="3" t="s">
        <v>70</v>
      </c>
      <c r="B56" s="3">
        <f>B50-C50</f>
        <v>4.2143479323851736</v>
      </c>
      <c r="C56" s="3">
        <f>G50-H50</f>
        <v>-7.1665318370282449</v>
      </c>
    </row>
    <row r="57" spans="1:10" ht="14.4" x14ac:dyDescent="0.25">
      <c r="A57" s="3" t="s">
        <v>71</v>
      </c>
      <c r="B57" s="3">
        <f>B51-C51</f>
        <v>-8.7007753178196232</v>
      </c>
      <c r="C57" s="3">
        <f>G51-H51</f>
        <v>7.0426105127778698</v>
      </c>
    </row>
    <row r="58" spans="1:10" ht="14.4" x14ac:dyDescent="0.25">
      <c r="A58" s="3" t="s">
        <v>72</v>
      </c>
      <c r="B58" s="3">
        <f>B52-C52</f>
        <v>0.45013435643008393</v>
      </c>
      <c r="C58" s="3">
        <f>G52-H52</f>
        <v>2.046367795674815</v>
      </c>
    </row>
    <row r="59" spans="1:10" ht="14.4" x14ac:dyDescent="0.25">
      <c r="A59" s="3" t="s">
        <v>73</v>
      </c>
      <c r="B59" s="3">
        <f>B53-C53</f>
        <v>4.0362930290043604</v>
      </c>
      <c r="C59" s="3">
        <f>G53-H53</f>
        <v>-1.9224464714244389</v>
      </c>
    </row>
    <row r="61" spans="1:10" ht="14.4" x14ac:dyDescent="0.25">
      <c r="C61" s="3" t="s">
        <v>7</v>
      </c>
      <c r="D61" s="3" t="s">
        <v>8</v>
      </c>
    </row>
    <row r="62" spans="1:10" ht="28.8" x14ac:dyDescent="0.25">
      <c r="A62" s="1" t="s">
        <v>66</v>
      </c>
      <c r="B62" s="3" t="s">
        <v>72</v>
      </c>
      <c r="C62" s="5">
        <f>B58</f>
        <v>0.45013435643008393</v>
      </c>
      <c r="D62" s="5">
        <f>C58</f>
        <v>2.046367795674815</v>
      </c>
      <c r="E62" s="7"/>
      <c r="F62" s="5"/>
      <c r="G62" s="5"/>
      <c r="H62" s="5"/>
    </row>
    <row r="63" spans="1:10" ht="14.4" x14ac:dyDescent="0.25">
      <c r="A63" s="11" t="s">
        <v>67</v>
      </c>
      <c r="B63" s="3" t="s">
        <v>70</v>
      </c>
      <c r="C63" s="5">
        <f>B56</f>
        <v>4.2143479323851736</v>
      </c>
      <c r="D63" s="5">
        <f>C56</f>
        <v>-7.1665318370282449</v>
      </c>
      <c r="E63" s="7"/>
      <c r="F63" s="5"/>
      <c r="G63" s="5"/>
      <c r="H63" s="5"/>
    </row>
    <row r="64" spans="1:10" ht="14.4" x14ac:dyDescent="0.25">
      <c r="A64" s="11"/>
      <c r="B64" s="3" t="s">
        <v>73</v>
      </c>
      <c r="C64" s="5">
        <f>B59</f>
        <v>4.0362930290043604</v>
      </c>
      <c r="D64" s="5">
        <f>C59</f>
        <v>-1.9224464714244389</v>
      </c>
      <c r="E64" s="12"/>
      <c r="F64" s="5"/>
      <c r="G64" s="5"/>
      <c r="H64" s="5"/>
    </row>
    <row r="65" spans="1:8" ht="28.8" x14ac:dyDescent="0.25">
      <c r="A65" s="1" t="s">
        <v>76</v>
      </c>
      <c r="B65" s="3" t="s">
        <v>71</v>
      </c>
      <c r="C65" s="5">
        <f>B57</f>
        <v>-8.7007753178196232</v>
      </c>
      <c r="D65" s="5">
        <f>C57</f>
        <v>7.0426105127778698</v>
      </c>
      <c r="E65" s="12"/>
      <c r="F65" s="5"/>
      <c r="G65" s="5"/>
      <c r="H65" s="5"/>
    </row>
  </sheetData>
  <mergeCells count="2">
    <mergeCell ref="A63:A64"/>
    <mergeCell ref="E64:E65"/>
  </mergeCells>
  <phoneticPr fontId="1" type="noConversion"/>
  <pageMargins left="0.7" right="0.7" top="0.75" bottom="0.75" header="0.3" footer="0.3"/>
  <ignoredErrors>
    <ignoredError sqref="B37:B39 G36:G39 B36 C36:C39 H36:H3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（c）省内地级市之间</vt:lpstr>
      <vt:lpstr>（b）省份之间</vt:lpstr>
      <vt:lpstr>（a）地区之间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one</dc:creator>
  <cp:lastModifiedBy>user one</cp:lastModifiedBy>
  <dcterms:created xsi:type="dcterms:W3CDTF">2026-01-09T07:35:46Z</dcterms:created>
  <dcterms:modified xsi:type="dcterms:W3CDTF">2026-01-09T11:52:58Z</dcterms:modified>
</cp:coreProperties>
</file>